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name="Tổng hợp" sheetId="1" state="visible" r:id="rId1"/>
    <sheet name="Môn học" sheetId="2" state="visible" r:id="rId2"/>
    <sheet name="Hồ sơ" sheetId="3" state="visible" r:id="rId3"/>
  </sheets>
  <definedNames>
    <definedName name="_xlnm._FilterDatabase" localSheetId="0" hidden="1">'Tổng hợp'!$A$1:$I$31</definedName>
    <definedName name="_xlnm.Print_Titles" localSheetId="0">'Tổng hợp'!$1:$1</definedName>
    <definedName name="_xlnm._FilterDatabase" localSheetId="1" hidden="1">'Môn học'!$A$1:$Z$31</definedName>
    <definedName name="_xlnm.Print_Titles" localSheetId="1">'Môn học'!$1:$1</definedName>
    <definedName name="_xlnm._FilterDatabase" localSheetId="2" hidden="1">'Hồ sơ'!$A$1:$L$31</definedName>
    <definedName name="_xlnm.Print_Titles" localSheetId="2">'Hồ sơ'!$1:$1</definedName>
  </definedNames>
  <calcPr calcId="0" calcMode="auto" fullCalcOnLoad="1" forceFullCalc="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FFFFFFFF"/>
      <sz val="10"/>
    </font>
    <font>
      <name val="Arial"/>
      <color rgb="FF222222"/>
      <sz val="10"/>
    </font>
    <font>
      <name val="Arial"/>
      <b val="1"/>
      <color rgb="00FFFFFF"/>
      <sz val="10"/>
    </font>
    <font>
      <name val="Arial"/>
      <color rgb="00243447"/>
      <sz val="10"/>
    </font>
  </fonts>
  <fills count="5">
    <fill>
      <patternFill/>
    </fill>
    <fill>
      <patternFill patternType="gray125"/>
    </fill>
    <fill>
      <patternFill patternType="solid">
        <fgColor rgb="FF17365D"/>
      </patternFill>
    </fill>
    <fill>
      <patternFill patternType="solid">
        <fgColor rgb="0017365D"/>
      </patternFill>
    </fill>
    <fill>
      <patternFill patternType="solid">
        <fgColor rgb="00EAF2F8"/>
      </patternFill>
    </fill>
  </fills>
  <borders count="5">
    <border>
      <left/>
      <right/>
      <top/>
      <bottom/>
      <diagonal/>
    </border>
    <border>
      <left/>
      <right/>
      <top/>
      <bottom style="medium">
        <color rgb="FF4472C4"/>
      </bottom>
      <diagonal/>
    </border>
    <border>
      <left/>
      <right/>
      <top/>
      <bottom style="hair">
        <color rgb="FFD9E2F3"/>
      </bottom>
      <diagonal/>
    </border>
    <border>
      <bottom style="medium">
        <color rgb="004472C4"/>
      </bottom>
    </border>
    <border>
      <bottom style="hair">
        <color rgb="00D9E2F3"/>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10" fontId="2" fillId="0" borderId="2" applyAlignment="1" pivotButton="0" quotePrefix="0" xfId="0">
      <alignment vertical="top" wrapText="1"/>
    </xf>
    <xf numFmtId="0" fontId="3" fillId="3" borderId="3" applyAlignment="1" pivotButton="0" quotePrefix="0" xfId="0">
      <alignment horizontal="center" vertical="center" wrapText="1"/>
    </xf>
    <xf numFmtId="0" fontId="4" fillId="0" borderId="4" applyAlignment="1" pivotButton="0" quotePrefix="0" xfId="0">
      <alignment horizontal="center" vertical="top"/>
    </xf>
    <xf numFmtId="0" fontId="4" fillId="0" borderId="4" applyAlignment="1" pivotButton="0" quotePrefix="0" xfId="0">
      <alignment vertical="top" wrapText="1"/>
    </xf>
    <xf numFmtId="164" fontId="4" fillId="0" borderId="4" applyAlignment="1" pivotButton="0" quotePrefix="0" xfId="0">
      <alignment vertical="top" wrapText="1"/>
    </xf>
    <xf numFmtId="0" fontId="4" fillId="4" borderId="4" applyAlignment="1" pivotButton="0" quotePrefix="0" xfId="0">
      <alignment vertical="top" wrapText="1"/>
    </xf>
    <xf numFmtId="0" fontId="4" fillId="4" borderId="4" applyAlignment="1" pivotButton="0" quotePrefix="0" xfId="0">
      <alignment horizontal="center" vertical="top"/>
    </xf>
    <xf numFmtId="2" fontId="4" fillId="4" borderId="4" applyAlignment="1" pivotButton="0" quotePrefix="0" xfId="0">
      <alignment vertical="top" wrapText="1"/>
    </xf>
    <xf numFmtId="0" fontId="4" fillId="0" borderId="4" applyAlignment="1" pivotButton="0" quotePrefix="0" xfId="0">
      <alignment horizontal="center" vertical="center"/>
    </xf>
    <xf numFmtId="0" fontId="4" fillId="0" borderId="4" applyAlignment="1" pivotButton="0" quotePrefix="0" xfId="0">
      <alignment vertical="center" wrapText="1"/>
    </xf>
    <xf numFmtId="2" fontId="4" fillId="0" borderId="4" applyAlignment="1" pivotButton="0" quotePrefix="0" xfId="0">
      <alignment horizontal="center" vertical="center"/>
    </xf>
    <xf numFmtId="2" fontId="4" fillId="0" borderId="4" applyAlignment="1" pivotButton="0" quotePrefix="0" xfId="0">
      <alignment vertical="top" wrapText="1"/>
    </xf>
    <xf numFmtId="0" fontId="4" fillId="0" borderId="4" applyAlignment="1" pivotButton="0" quotePrefix="0" xfId="0">
      <alignment horizontal="center" vertical="center" wrapText="1"/>
    </xf>
    <xf numFmtId="0" fontId="4" fillId="0" borderId="4" applyAlignment="1" pivotButton="0" quotePrefix="0" xfId="0">
      <alignment horizontal="left" vertical="center" wrapText="1"/>
    </xf>
    <xf numFmtId="2" fontId="4" fillId="0" borderId="4" applyAlignment="1" pivotButton="0" quotePrefix="0" xfId="0">
      <alignment horizontal="center" vertical="center" wrapText="1"/>
    </xf>
  </cellXfs>
  <cellStyles count="1">
    <cellStyle name="Bình thường"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AXIS</author>
    <author>AXIS synthetic QA</author>
  </authors>
  <commentList>
    <comment ref="D1" authorId="0" shapeId="0">
      <text>
        <t>Chỉ lấy GPA của năm đã hoàn thành. Lớp hiện tại chỉ có điểm tạm thời, không được xem là GPA cuối năm.</t>
      </text>
    </comment>
    <comment ref="D24" authorId="1" shapeId="0">
      <text>
        <t>For this current Grade 10 profile, GPA refers to term-to-date marks, not the completed year.</t>
      </text>
    </comment>
    <comment ref="D25" authorId="1" shapeId="0">
      <text>
        <t>For this current Grade 10 profile, GPA refers to term-to-date marks, not the completed year.</t>
      </text>
    </comment>
    <comment ref="D26" authorId="1" shapeId="0">
      <text>
        <t>For this current Grade 10 profile, GPA refers to term-to-date marks, not the completed year.</t>
      </text>
    </comment>
    <comment ref="D27" authorId="1" shapeId="0">
      <text>
        <t>For this current Grade 10 profile, GPA refers to term-to-date marks, not the completed year.</t>
      </text>
    </comment>
    <comment ref="D28" authorId="1" shapeId="0">
      <text>
        <t>For this current Grade 10 profile, GPA refers to term-to-date marks, not the completed year.</t>
      </text>
    </comment>
    <comment ref="D29" authorId="1" shapeId="0">
      <text>
        <t>For this current Grade 10 profile, GPA refers to term-to-date marks, not the completed year.</t>
      </text>
    </comment>
    <comment ref="D30" authorId="1" shapeId="0">
      <text>
        <t>For this current Grade 10 profile, GPA refers to term-to-date marks, not the completed year.</t>
      </text>
    </comment>
    <comment ref="D31" authorId="1" shapeId="0">
      <text>
        <t>For this current Grade 10 profile, GPA refers to term-to-date marks, not the completed year.</t>
      </text>
    </comment>
  </commentList>
</comments>
</file>

<file path=xl/comments/comment2.xml><?xml version="1.0" encoding="utf-8"?>
<comments xmlns="http://schemas.openxmlformats.org/spreadsheetml/2006/main">
  <authors>
    <author>AXIS</author>
    <author>AXIS synthetic QA</author>
  </authors>
  <commentList>
    <comment ref="D1" authorId="0" shapeId="0">
      <text>
        <t>Mỗi khối dùng chung một tổ hợp tự chọn. Lớp 12 dùng tổ hợp theo yêu cầu; tổ hợp lớp 10 và 11 được chọn ngẫu nhiên một lần cho cả khối.</t>
      </text>
    </comment>
    <comment ref="E1" authorId="0" shapeId="0">
      <text>
        <t>Điểm chỉ được ghi cho các năm đã hoàn thành. Điểm/GPA của khối hiện tại đang học không được đưa vào. GPA là trung bình 8 môn trong năm tương ứng.</t>
      </text>
    </comment>
    <comment ref="O24" authorId="1" shapeId="0">
      <text>
        <t>Synthetic term-to-date estimate; not a completed-year GPA.</t>
      </text>
    </comment>
    <comment ref="O25" authorId="1" shapeId="0">
      <text>
        <t>Synthetic term-to-date estimate; not a completed-year GPA.</t>
      </text>
    </comment>
    <comment ref="O26" authorId="1" shapeId="0">
      <text>
        <t>Synthetic term-to-date estimate; not a completed-year GPA.</t>
      </text>
    </comment>
    <comment ref="O27" authorId="1" shapeId="0">
      <text>
        <t>Synthetic term-to-date estimate; not a completed-year GPA.</t>
      </text>
    </comment>
    <comment ref="O28" authorId="1" shapeId="0">
      <text>
        <t>Synthetic term-to-date estimate; not a completed-year GPA.</t>
      </text>
    </comment>
    <comment ref="O29" authorId="1" shapeId="0">
      <text>
        <t>Synthetic term-to-date estimate; not a completed-year GPA.</t>
      </text>
    </comment>
    <comment ref="O30" authorId="1" shapeId="0">
      <text>
        <t>Synthetic term-to-date estimate; not a completed-year GPA.</t>
      </text>
    </comment>
    <comment ref="O31" authorId="1" shapeId="0">
      <text>
        <t>Synthetic term-to-date estimate; not a completed-year GPA.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ns1="http://schemas.openxmlformats.org/officeDocument/2006/relationships">
  <sheetPr>
    <tabColor rgb="004472C4"/>
    <outlinePr summaryBelow="1" summaryRight="1"/>
    <pageSetUpPr fitToPage="1"/>
  </sheetPr>
  <dimension ref="A1:I31"/>
  <sheetViews>
    <sheetView showGridLines="0" tabSelected="1" topLeftCell="R1" workbookViewId="0">
      <pane ySplit="1" topLeftCell="A2" activePane="bottomLeft" state="frozen"/>
      <selection pane="bottomLeft" activeCell="U28" sqref="U28"/>
    </sheetView>
  </sheetViews>
  <sheetFormatPr baseColWidth="8" defaultRowHeight="15"/>
  <cols>
    <col width="7" customWidth="1" min="1" max="1"/>
    <col width="15" customWidth="1" min="2" max="2"/>
    <col width="9" customWidth="1" min="3" max="3"/>
    <col width="20" customWidth="1" min="4" max="4"/>
    <col width="40" customWidth="1" min="5" max="5"/>
    <col width="40" customWidth="1" min="6" max="6"/>
    <col width="40" customWidth="1" min="7" max="7"/>
    <col width="40" customWidth="1" min="8" max="8"/>
    <col width="78" customWidth="1" min="9" max="9"/>
    <col width="12" customWidth="1" min="10" max="10"/>
    <col width="46" customWidth="1" min="11" max="11"/>
    <col width="24" customWidth="1" min="12" max="12"/>
    <col width="42" customWidth="1" min="13" max="13"/>
    <col width="32" customWidth="1" min="14" max="14"/>
    <col width="34" customWidth="1" min="15" max="15"/>
    <col width="17" customWidth="1" min="16" max="16"/>
    <col width="34" customWidth="1" min="17" max="17"/>
    <col width="17" customWidth="1" min="18" max="18"/>
    <col width="34" customWidth="1" min="19" max="19"/>
    <col width="17" customWidth="1" min="20" max="20"/>
    <col width="76" customWidth="1" min="21" max="21"/>
    <col width="15" customWidth="1" min="22" max="22"/>
  </cols>
  <sheetData>
    <row r="1" ht="34" customHeight="1">
      <c r="A1" s="4" t="inlineStr">
        <is>
          <t>No.</t>
        </is>
      </c>
      <c r="B1" s="4" t="inlineStr">
        <is>
          <t>HS+No.</t>
        </is>
      </c>
      <c r="C1" s="4" t="inlineStr">
        <is>
          <t>Khối</t>
        </is>
      </c>
      <c r="D1" s="4" t="inlineStr">
        <is>
          <t>GPA gần nhất</t>
        </is>
      </c>
      <c r="E1" s="4" t="inlineStr">
        <is>
          <t>Ngành nghề quan tâm</t>
        </is>
      </c>
      <c r="F1" s="4" t="inlineStr">
        <is>
          <t>Top 1</t>
        </is>
      </c>
      <c r="G1" s="4" t="inlineStr">
        <is>
          <t>Top 2</t>
        </is>
      </c>
      <c r="H1" s="4" t="inlineStr">
        <is>
          <t>Top 3</t>
        </is>
      </c>
      <c r="I1" s="4" t="inlineStr">
        <is>
          <t>Đánh giá sơ bộ</t>
        </is>
      </c>
    </row>
    <row r="2" ht="118" customHeight="1">
      <c r="A2" s="5" t="n">
        <v>1</v>
      </c>
      <c r="B2" s="6" t="inlineStr">
        <is>
          <t>HS12-001</t>
        </is>
      </c>
      <c r="C2" s="5" t="n">
        <v>12</v>
      </c>
      <c r="D2" s="14">
        <f>'Môn học'!Z2</f>
        <v>6.32</v>
      </c>
      <c r="E2" s="6" t="inlineStr">
        <is>
          <t>Em muốn thử tìm hiểu nhóm kỹ thuật; sở thích vẽ cũng có thể mở sang thiết kế sản phẩm.</t>
        </is>
      </c>
      <c r="F2" s="6" t="inlineStr">
        <is>
          <t>Sư phạm &amp; Giáo dục - 38.58%</t>
        </is>
      </c>
      <c r="G2" s="6" t="inlineStr">
        <is>
          <t>Khoa học Xã hội &amp; Nhân văn - 37.85%</t>
        </is>
      </c>
      <c r="H2" s="6" t="inlineStr">
        <is>
          <t>Truyền thông, Báo chí &amp; MKT - 36.41%</t>
        </is>
      </c>
      <c r="I2" s="6" t="inlineStr">
        <is>
          <t>Học tập:
Năm học gần nhất đã có dữ liệu: lớp 11 (GPA 8.35). Môn có điểm cao: Tin học 9.2, Tiếng Anh 9.0. Điểm thấp hơn tương đối: Ngữ văn 7.7.
Định hướng:
Em muốn thử tìm hiểu nhóm kỹ thuật; sở thích vẽ cũng có thể mở sang thiết kế sản phẩm.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Sư phạm &amp; Giáo dục - 38.58%; Khoa học Xã hội &amp; Nhân văn - 37.85%; Truyền thông, Báo chí &amp; MKT - 36.41%.</t>
        </is>
      </c>
    </row>
    <row r="3" ht="118" customHeight="1">
      <c r="A3" s="5" t="n">
        <v>2</v>
      </c>
      <c r="B3" s="6" t="inlineStr">
        <is>
          <t>HS12-002</t>
        </is>
      </c>
      <c r="C3" s="5" t="n">
        <v>12</v>
      </c>
      <c r="D3" s="14">
        <f>'Môn học'!Z3</f>
        <v>7.5</v>
      </c>
      <c r="E3" s="6" t="inlineStr">
        <is>
          <t>Em coi trọng công việc có phối hợp; hiện chưa khoanh vùng nhóm ngành.</t>
        </is>
      </c>
      <c r="F3" s="6" t="inlineStr">
        <is>
          <t>Quản lý Nhà nước &amp; Công tác Xã hội - 41.63%</t>
        </is>
      </c>
      <c r="G3" s="6" t="inlineStr">
        <is>
          <t>Sư phạm &amp; Giáo dục - 40.83%</t>
        </is>
      </c>
      <c r="H3" s="6" t="inlineStr">
        <is>
          <t>Khoa học Xã hội &amp; Nhân văn - 39.02%</t>
        </is>
      </c>
      <c r="I3" s="6" t="inlineStr">
        <is>
          <t>Học tập:
Năm học gần nhất đã có dữ liệu: lớp 11 (GPA 8.18). Môn có điểm cao: Giáo dục kinh tế và pháp luật 9.1, Hóa học 9.0. Điểm thấp hơn tương đối: Lịch sử 7.1.
Định hướng:
Em coi trọng công việc có phối hợp; hiện chưa khoanh vùng nhóm ngành.
Tính cách:
Chưa có dữ liệu tính cách/RIASEC.
Nhận xét:
Top 3 do career_matching.py hiện tại tính: Quản lý Nhà nước &amp; Công tác Xã hội - 41.63%; Sư phạm &amp; Giáo dục - 40.83%; Khoa học Xã hội &amp; Nhân văn - 39.02%.</t>
        </is>
      </c>
    </row>
    <row r="4" ht="118" customHeight="1">
      <c r="A4" s="5" t="n">
        <v>3</v>
      </c>
      <c r="B4" s="6" t="inlineStr">
        <is>
          <t>HS12-003</t>
        </is>
      </c>
      <c r="C4" s="5" t="n">
        <v>12</v>
      </c>
      <c r="D4" s="14">
        <f>'Môn học'!Z4</f>
        <v>6.67</v>
      </c>
      <c r="E4" s="6" t="inlineStr">
        <is>
          <t>Chưa xác định hướng; muốn có thêm trải nghiệm trước khi chọn.</t>
        </is>
      </c>
      <c r="F4" s="6" t="inlineStr">
        <is>
          <t>Khoa học Xã hội &amp; Nhân văn - 39.94%</t>
        </is>
      </c>
      <c r="G4" s="6" t="inlineStr">
        <is>
          <t>Sư phạm &amp; Giáo dục - 39.82%</t>
        </is>
      </c>
      <c r="H4" s="6" t="inlineStr">
        <is>
          <t>Quản lý Nhà nước &amp; Công tác Xã hội - 38.45%</t>
        </is>
      </c>
      <c r="I4" s="6" t="inlineStr">
        <is>
          <t>Học tập:
Năm học gần nhất đã có dữ liệu: lớp 11 (GPA 8.03). Môn có điểm cao: Tiếng Anh 8.9, Vật lý 8.6. Điểm thấp hơn tương đối: Giáo dục kinh tế và pháp luật 7.4.
Định hướng:
Chưa xác định hướng; muốn có thêm trải nghiệm trước khi chọn.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Khoa học Xã hội &amp; Nhân văn - 39.94%; Sư phạm &amp; Giáo dục - 39.82%; Quản lý Nhà nước &amp; Công tác Xã hội - 38.45%.</t>
        </is>
      </c>
    </row>
    <row r="5" ht="118" customHeight="1">
      <c r="A5" s="5" t="n">
        <v>4</v>
      </c>
      <c r="B5" s="6" t="inlineStr">
        <is>
          <t>HS12-004</t>
        </is>
      </c>
      <c r="C5" s="5" t="n">
        <v>12</v>
      </c>
      <c r="D5" s="14">
        <f>'Môn học'!Z5</f>
        <v>7.87</v>
      </c>
      <c r="E5" s="6" t="inlineStr">
        <is>
          <t>Em đang khám phá các hướng xã hội; trải nghiệm Violympic Tin là một mảng riêng từng thử, chưa đồng nghĩa đã chọn CNTT.</t>
        </is>
      </c>
      <c r="F5" s="6" t="inlineStr">
        <is>
          <t>Khoa học Xã hội &amp; Nhân văn - 45.71%</t>
        </is>
      </c>
      <c r="G5" s="6" t="inlineStr">
        <is>
          <t>Sư phạm &amp; Giáo dục - 44.76%</t>
        </is>
      </c>
      <c r="H5" s="6" t="inlineStr">
        <is>
          <t>Truyền thông, Báo chí &amp; MKT - 44.67%</t>
        </is>
      </c>
      <c r="I5" s="6" t="inlineStr">
        <is>
          <t>Học tập:
Năm học gần nhất đã có dữ liệu: lớp 11 (GPA 8.00). Môn có điểm cao: Toán 8.9, Lịch sử 8.6. Điểm thấp hơn tương đối: Giáo dục kinh tế và pháp luật 7.1.
Định hướng:
Em đang khám phá các hướng xã hội; trải nghiệm Violympic Tin là một mảng riêng từng thử, chưa đồng nghĩa đã chọn CNTT.
Tính cách:
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
Nhận xét:
Top 3 do career_matching.py hiện tại tính: Khoa học Xã hội &amp; Nhân văn - 45.71%; Sư phạm &amp; Giáo dục - 44.76%; Truyền thông, Báo chí &amp; MKT - 44.67%.</t>
        </is>
      </c>
    </row>
    <row r="6" ht="118" customHeight="1">
      <c r="A6" s="5" t="n">
        <v>5</v>
      </c>
      <c r="B6" s="6" t="inlineStr">
        <is>
          <t>HS12-005</t>
        </is>
      </c>
      <c r="C6" s="5" t="n">
        <v>12</v>
      </c>
      <c r="D6" s="14">
        <f>'Môn học'!Z6</f>
        <v>7.07</v>
      </c>
      <c r="E6" s="6" t="inlineStr">
        <is>
          <t>Em đang mở rộng tìm hiểu các ngành khoa học ứng dụng và kinh doanh, chưa chốt lựa chọn.</t>
        </is>
      </c>
      <c r="F6" s="6" t="inlineStr">
        <is>
          <t>Quản lý Nhà nước &amp; Công tác Xã hội - 41.16%</t>
        </is>
      </c>
      <c r="G6" s="6" t="inlineStr">
        <is>
          <t>Khoa học Xã hội &amp; Nhân văn - 40.63%</t>
        </is>
      </c>
      <c r="H6" s="6" t="inlineStr">
        <is>
          <t>Sư phạm &amp; Giáo dục - 40.10%</t>
        </is>
      </c>
      <c r="I6" s="6" t="inlineStr">
        <is>
          <t>Học tập:
Năm học gần nhất đã có dữ liệu: lớp 11 (GPA 8.39). Môn có điểm cao: Tin học 9.5, Toán 9.5. Điểm thấp hơn tương đối: Giáo dục kinh tế và pháp luật 7.2.
Định hướng:
Em đang mở rộng tìm hiểu các ngành khoa học ứng dụng và kinh doanh, chưa chốt lựa chọn.
Tính cách:
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
Nhận xét:
Top 3 do career_matching.py hiện tại tính: Quản lý Nhà nước &amp; Công tác Xã hội - 41.16%; Khoa học Xã hội &amp; Nhân văn - 40.63%; Sư phạm &amp; Giáo dục - 40.10%.</t>
        </is>
      </c>
    </row>
    <row r="7" ht="118" customHeight="1">
      <c r="A7" s="5" t="n">
        <v>6</v>
      </c>
      <c r="B7" s="6" t="inlineStr">
        <is>
          <t>HS12-006</t>
        </is>
      </c>
      <c r="C7" s="5" t="n">
        <v>12</v>
      </c>
      <c r="D7" s="14">
        <f>'Môn học'!Z7</f>
        <v>7.08</v>
      </c>
      <c r="E7" s="6" t="inlineStr">
        <is>
          <t>Em nghiêng về thiết kế hoặc truyền thông, đồng thời có thể tận dụng năng lực tiếng Anh.</t>
        </is>
      </c>
      <c r="F7" s="6" t="inlineStr">
        <is>
          <t>Ngôn ngữ, Văn hóa &amp; Ngoại ngữ - 61.80%</t>
        </is>
      </c>
      <c r="G7" s="6" t="inlineStr">
        <is>
          <t>Quan hệ Quốc tế &amp; Ngoại giao - 61.47%</t>
        </is>
      </c>
      <c r="H7" s="6" t="inlineStr">
        <is>
          <t>Truyền thông, Báo chí &amp; MKT - 57.32%</t>
        </is>
      </c>
      <c r="I7" s="6" t="inlineStr">
        <is>
          <t>Học tập:
Năm học gần nhất đã có dữ liệu: lớp 11 (GPA 8.53). Môn có điểm cao: Tin học 9.5, Lịch sử 9.2. Điểm thấp hơn tương đối: Tiếng Anh 7.2.
Định hướng:
Em nghiêng về thiết kế hoặc truyền thông, đồng thời có thể tận dụng năng lực tiếng Anh.
Tính cách:
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
Nhận xét:
Top 3 do career_matching.py hiện tại tính: Ngôn ngữ, Văn hóa &amp; Ngoại ngữ - 61.80%; Quan hệ Quốc tế &amp; Ngoại giao - 61.47%; Truyền thông, Báo chí &amp; MKT - 57.32%.</t>
        </is>
      </c>
    </row>
    <row r="8" ht="118" customHeight="1">
      <c r="A8" s="5" t="n">
        <v>7</v>
      </c>
      <c r="B8" s="6" t="inlineStr">
        <is>
          <t>HS12-007</t>
        </is>
      </c>
      <c r="C8" s="5" t="n">
        <v>12</v>
      </c>
      <c r="D8" s="14">
        <f>'Môn học'!Z8</f>
        <v>7.07</v>
      </c>
      <c r="E8" s="6" t="inlineStr">
        <is>
          <t>Em đang tìm hiểu các ngành xã hội, luật hoặc phân tích; chưa chọn một hướng cụ thể.</t>
        </is>
      </c>
      <c r="F8" s="6" t="inlineStr">
        <is>
          <t>Quan hệ Quốc tế &amp; Ngoại giao - 63.59%</t>
        </is>
      </c>
      <c r="G8" s="6" t="inlineStr">
        <is>
          <t>Ngôn ngữ, Văn hóa &amp; Ngoại ngữ - 63.30%</t>
        </is>
      </c>
      <c r="H8" s="6" t="inlineStr">
        <is>
          <t>Tài chính - Ngân hàng - Bảo hiểm - 61.32%</t>
        </is>
      </c>
      <c r="I8" s="6" t="inlineStr">
        <is>
          <t>Học tập:
Năm học gần nhất đã có dữ liệu: lớp 11 (GPA 8.20). Môn có điểm cao: Tin học 9.3, Ngữ văn 9.0. Điểm thấp hơn tương đối: Vật lý 7.1.
Định hướng:
Em đang tìm hiểu các ngành xã hội, luật hoặc phân tích; chưa chọn một hướng cụ thể.
Tính cách:
Em tò mò, thích tìm hiểu nguyên nhân và phân tích cách mọi thứ vận hành. Em thích sắp xếp công việc rõ ràng, chú ý chi tiết và làm theo kế hoạch. Em khá tự tin khi xử lý việc thực tế, thích bắt tay làm và thử nghiệm với công cụ. Mã tham khảo: ICR. Đây là mô tả tham khảo từ kết quả trắc nghiệm RIASEC của website AXIS, không phải kết luận tâm lý.
Nhận xét:
Top 3 do career_matching.py hiện tại tính: Quan hệ Quốc tế &amp; Ngoại giao - 63.59%; Ngôn ngữ, Văn hóa &amp; Ngoại ngữ - 63.30%; Tài chính - Ngân hàng - Bảo hiểm - 61.32%.</t>
        </is>
      </c>
    </row>
    <row r="9" ht="118" customHeight="1">
      <c r="A9" s="5" t="n">
        <v>8</v>
      </c>
      <c r="B9" s="6" t="inlineStr">
        <is>
          <t>HS12-008</t>
        </is>
      </c>
      <c r="C9" s="5" t="n">
        <v>12</v>
      </c>
      <c r="D9" s="14">
        <f>'Môn học'!Z9</f>
        <v>6.42</v>
      </c>
      <c r="E9" s="6" t="inlineStr">
        <is>
          <t>Em quan tâm kinh tế nhưng vẫn cân nhắc giữa kinh doanh, dữ liệu và truyền thông.</t>
        </is>
      </c>
      <c r="F9" s="6" t="inlineStr">
        <is>
          <t>Truyền thông, Báo chí &amp; MKT - 51.82%</t>
        </is>
      </c>
      <c r="G9" s="6" t="inlineStr">
        <is>
          <t>Ngôn ngữ, Văn hóa &amp; Ngoại ngữ - 51.01%</t>
        </is>
      </c>
      <c r="H9" s="6" t="inlineStr">
        <is>
          <t>Quan hệ Quốc tế &amp; Ngoại giao - 50.40%</t>
        </is>
      </c>
      <c r="I9" s="6" t="inlineStr">
        <is>
          <t>Học tập:
Năm học gần nhất đã có dữ liệu: lớp 11 (GPA 8.07). Môn có điểm cao: Lịch sử 9.5, Tin học 8.3. Điểm thấp hơn tương đối: Hóa học 7.1.
Định hướng:
Em quan tâm kinh tế nhưng vẫn cân nhắc giữa kinh doanh, dữ liệu và truyền thông.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Truyền thông, Báo chí &amp; MKT - 51.82%; Ngôn ngữ, Văn hóa &amp; Ngoại ngữ - 51.01%; Quan hệ Quốc tế &amp; Ngoại giao - 50.40%.</t>
        </is>
      </c>
    </row>
    <row r="10" ht="118" customHeight="1">
      <c r="A10" s="5" t="n">
        <v>9</v>
      </c>
      <c r="B10" s="6" t="inlineStr">
        <is>
          <t>HS12-009</t>
        </is>
      </c>
      <c r="C10" s="5" t="n">
        <v>12</v>
      </c>
      <c r="D10" s="14">
        <f>'Môn học'!Z10</f>
        <v>7.28</v>
      </c>
      <c r="E10" s="6" t="inlineStr">
        <is>
          <t>Em cân nhắc kinh doanh, tài chính hoặc logistics; thành tích Toán là một dữ kiện tham khảo, không phải lý do duy nhất.</t>
        </is>
      </c>
      <c r="F10" s="6" t="inlineStr">
        <is>
          <t>Kinh doanh &amp; Quản lý - 53.93%</t>
        </is>
      </c>
      <c r="G10" s="6" t="inlineStr">
        <is>
          <t>Tài chính - Ngân hàng - Bảo hiểm - 53.87%</t>
        </is>
      </c>
      <c r="H10" s="6" t="inlineStr">
        <is>
          <t>Logistics &amp; Chuỗi cung ứng - 53.87%</t>
        </is>
      </c>
      <c r="I10" s="6" t="inlineStr">
        <is>
          <t>Học tập:
Năm học gần nhất đã có dữ liệu: lớp 11 (GPA 8.45). Môn có điểm cao: Tiếng Anh 9.4, Toán 9.3. Điểm thấp hơn tương đối: Ngữ văn 7.5.
Định hướng:
Em cân nhắc kinh doanh, tài chính hoặc logistics; thành tích Toán là một dữ kiện tham khảo, không phải lý do duy nhất.
Tính cách:
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
Nhận xét:
Top 3 do career_matching.py hiện tại tính: Kinh doanh &amp; Quản lý - 53.93%; Tài chính - Ngân hàng - Bảo hiểm - 53.87%; Logistics &amp; Chuỗi cung ứng - 53.87%.</t>
        </is>
      </c>
    </row>
    <row r="11" ht="118" customHeight="1">
      <c r="A11" s="5" t="n">
        <v>10</v>
      </c>
      <c r="B11" s="6" t="inlineStr">
        <is>
          <t>HS12-010</t>
        </is>
      </c>
      <c r="C11" s="5" t="n">
        <v>12</v>
      </c>
      <c r="D11" s="14">
        <f>'Môn học'!Z11</f>
        <v>6.48</v>
      </c>
      <c r="E11" s="6" t="inlineStr">
        <is>
          <t>Chưa chốt ngành; có thể khám phá thể thao, giáo dục hoặc công việc với con người.</t>
        </is>
      </c>
      <c r="F11" s="6" t="inlineStr">
        <is>
          <t>Khoa học Xã hội &amp; Nhân văn - 37.75%</t>
        </is>
      </c>
      <c r="G11" s="6" t="inlineStr">
        <is>
          <t>Sư phạm &amp; Giáo dục - 37.41%</t>
        </is>
      </c>
      <c r="H11" s="6" t="inlineStr">
        <is>
          <t>Truyền thông, Báo chí &amp; MKT - 34.91%</t>
        </is>
      </c>
      <c r="I11" s="6" t="inlineStr">
        <is>
          <t>Học tập:
Năm học gần nhất đã có dữ liệu: lớp 11 (GPA 8.51). Môn có điểm cao: Toán 9.2, Ngữ văn 8.9. Điểm thấp hơn tương đối: Giáo dục kinh tế và pháp luật 7.6.
Định hướng:
Chưa chốt ngành; có thể khám phá thể thao, giáo dục hoặc công việc với con người.
Tính cách:
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
Nhận xét:
Top 3 do career_matching.py hiện tại tính: Khoa học Xã hội &amp; Nhân văn - 37.75%; Sư phạm &amp; Giáo dục - 37.41%; Truyền thông, Báo chí &amp; MKT - 34.91%.</t>
        </is>
      </c>
    </row>
    <row r="12" ht="118" customHeight="1">
      <c r="A12" s="5" t="n">
        <v>11</v>
      </c>
      <c r="B12" s="6" t="inlineStr">
        <is>
          <t>HS12-011</t>
        </is>
      </c>
      <c r="C12" s="5" t="n">
        <v>12</v>
      </c>
      <c r="D12" s="14">
        <f>'Môn học'!Z12</f>
        <v>8.0500000000000007</v>
      </c>
      <c r="E12" s="6" t="inlineStr">
        <is>
          <t>Em đang cân nhắc thiết kế và truyền thông; sở thích viết là một phần của quá trình khám phá.</t>
        </is>
      </c>
      <c r="F12" s="6" t="inlineStr">
        <is>
          <t>Khoa học Xã hội &amp; Nhân văn - 42.39%</t>
        </is>
      </c>
      <c r="G12" s="6" t="inlineStr">
        <is>
          <t>Sư phạm &amp; Giáo dục - 40.26%</t>
        </is>
      </c>
      <c r="H12" s="6" t="inlineStr">
        <is>
          <t>Truyền thông, Báo chí &amp; MKT - 37.56%</t>
        </is>
      </c>
      <c r="I12" s="6" t="inlineStr">
        <is>
          <t>Học tập:
Năm học gần nhất đã có dữ liệu: lớp 11 (GPA 7.95). Môn có điểm cao: Hóa học 8.4, Lịch sử 8.4. Điểm thấp hơn tương đối: Vật lý 7.1.
Định hướng:
Em đang cân nhắc thiết kế và truyền thông; sở thích viết là một phần của quá trình khám phá.
Tính cách:
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
Nhận xét:
Top 3 do career_matching.py hiện tại tính: Khoa học Xã hội &amp; Nhân văn - 42.39%; Sư phạm &amp; Giáo dục - 40.26%; Truyền thông, Báo chí &amp; MKT - 37.56%.</t>
        </is>
      </c>
    </row>
    <row r="13" ht="118" customHeight="1">
      <c r="A13" s="5" t="n">
        <v>12</v>
      </c>
      <c r="B13" s="6" t="inlineStr">
        <is>
          <t>HS12-012</t>
        </is>
      </c>
      <c r="C13" s="5" t="n">
        <v>12</v>
      </c>
      <c r="D13" s="14">
        <f>'Môn học'!Z13</f>
        <v>6.93</v>
      </c>
      <c r="E13" s="6" t="inlineStr">
        <is>
          <t>Chưa xác định nghề; có thể tìm hiểu công việc sáng tạo bên cạnh sở thích vẽ.</t>
        </is>
      </c>
      <c r="F13" s="6" t="inlineStr">
        <is>
          <t>Kinh doanh &amp; Quản lý - 38.54%</t>
        </is>
      </c>
      <c r="G13" s="6" t="inlineStr">
        <is>
          <t>Tài chính - Ngân hàng - Bảo hiểm - 38.54%</t>
        </is>
      </c>
      <c r="H13" s="6" t="inlineStr">
        <is>
          <t>Logistics &amp; Chuỗi cung ứng - 38.54%</t>
        </is>
      </c>
      <c r="I13" s="6" t="inlineStr">
        <is>
          <t>Học tập:
Năm học gần nhất đã có dữ liệu: lớp 11 (GPA 7.94). Môn có điểm cao: Toán 9.1, Tiếng Anh 8.4. Điểm thấp hơn tương đối: Lịch sử 7.1.
Định hướng:
Chưa xác định nghề; có thể tìm hiểu công việc sáng tạo bên cạnh sở thích vẽ.
Tính cách:
Chưa có dữ liệu tính cách/RIASEC.
Nhận xét:
Top 3 do career_matching.py hiện tại tính: Kinh doanh &amp; Quản lý - 38.54%; Tài chính - Ngân hàng - Bảo hiểm - 38.54%; Logistics &amp; Chuỗi cung ứng - 38.54%.</t>
        </is>
      </c>
    </row>
    <row r="14" ht="118" customHeight="1">
      <c r="A14" s="5" t="n">
        <v>13</v>
      </c>
      <c r="B14" s="6" t="inlineStr">
        <is>
          <t>HS11-001</t>
        </is>
      </c>
      <c r="C14" s="5" t="n">
        <v>11</v>
      </c>
      <c r="D14" s="14">
        <f>'Môn học'!O14</f>
        <v>7.07</v>
      </c>
      <c r="E14" s="6" t="inlineStr">
        <is>
          <t>Em thích tìm hiểu các lĩnh vực làm việc với công chúng; có thể khám phá luật hoặc công tác xã hội.</t>
        </is>
      </c>
      <c r="F14" s="6" t="inlineStr">
        <is>
          <t>Quản lý Nhà nước &amp; Công tác Xã hội - 48.83%</t>
        </is>
      </c>
      <c r="G14" s="6" t="inlineStr">
        <is>
          <t>Luật &amp; An ninh - Quốc phòng - 43.80%</t>
        </is>
      </c>
      <c r="H14" s="6" t="inlineStr">
        <is>
          <t>Truyền thông, Báo chí &amp; MKT - 40.93%</t>
        </is>
      </c>
      <c r="I14" s="6" t="inlineStr">
        <is>
          <t>Học tập:
Năm học gần nhất đã có dữ liệu: lớp 10 (GPA 8.14). Môn có điểm cao: Tin học 9.0, Sinh học 8.6. Điểm thấp hơn tương đối: Địa lý 7.3.
Định hướng:
Em thích tìm hiểu các lĩnh vực làm việc với công chúng; có thể khám phá luật hoặc công tác xã hội.
Tính cách:
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
Nhận xét:
Top 3 do career_matching.py hiện tại tính: Quản lý Nhà nước &amp; Công tác Xã hội - 48.83%; Luật &amp; An ninh - Quốc phòng - 43.80%; Truyền thông, Báo chí &amp; MKT - 40.93%.</t>
        </is>
      </c>
    </row>
    <row r="15" ht="118" customHeight="1">
      <c r="A15" s="5" t="n">
        <v>14</v>
      </c>
      <c r="B15" s="6" t="inlineStr">
        <is>
          <t>HS11-002</t>
        </is>
      </c>
      <c r="C15" s="5" t="n">
        <v>11</v>
      </c>
      <c r="D15" s="14">
        <f>'Môn học'!O15</f>
        <v>7.32</v>
      </c>
      <c r="E15" s="6" t="inlineStr">
        <is>
          <t>Em đang tìm hiểu truyền thông và thiết kế, dù quan tâm kinh doanh có thể mở thêm hướng khác.</t>
        </is>
      </c>
      <c r="F15" s="6" t="inlineStr">
        <is>
          <t>Truyền thông, Báo chí &amp; MKT - 54.15%</t>
        </is>
      </c>
      <c r="G15" s="6" t="inlineStr">
        <is>
          <t>Ngôn ngữ, Văn hóa &amp; Ngoại ngữ - 52.25%</t>
        </is>
      </c>
      <c r="H15" s="6" t="inlineStr">
        <is>
          <t>Quan hệ Quốc tế &amp; Ngoại giao - 51.83%</t>
        </is>
      </c>
      <c r="I15" s="6" t="inlineStr">
        <is>
          <t>Học tập:
Năm học gần nhất đã có dữ liệu: lớp 10 (GPA 8.34). Môn có điểm cao: Ngữ văn 9.0, Toán 9.0. Điểm thấp hơn tương đối: Địa lý 7.6.
Định hướng:
Em đang tìm hiểu truyền thông và thiết kế, dù quan tâm kinh doanh có thể mở thêm hướng khác.
Tính cách:
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
Nhận xét:
Top 3 do career_matching.py hiện tại tính: Truyền thông, Báo chí &amp; MKT - 54.15%; Ngôn ngữ, Văn hóa &amp; Ngoại ngữ - 52.25%; Quan hệ Quốc tế &amp; Ngoại giao - 51.83%.</t>
        </is>
      </c>
    </row>
    <row r="16" ht="118" customHeight="1">
      <c r="A16" s="5" t="n">
        <v>15</v>
      </c>
      <c r="B16" s="6" t="inlineStr">
        <is>
          <t>HS11-003</t>
        </is>
      </c>
      <c r="C16" s="5" t="n">
        <v>11</v>
      </c>
      <c r="D16" s="14">
        <f>'Môn học'!O16</f>
        <v>7.75</v>
      </c>
      <c r="E16" s="6" t="inlineStr">
        <is>
          <t>Em quan tâm môi trường và tự học vài việc nhỏ trên máy tính; ngành học vẫn còn để ngỏ.</t>
        </is>
      </c>
      <c r="F16" s="6" t="inlineStr">
        <is>
          <t>Kinh doanh &amp; Quản lý - 42.31%</t>
        </is>
      </c>
      <c r="G16" s="6" t="inlineStr">
        <is>
          <t>Tài chính - Ngân hàng - Bảo hiểm - 39.62%</t>
        </is>
      </c>
      <c r="H16" s="6" t="inlineStr">
        <is>
          <t>Logistics &amp; Chuỗi cung ứng - 39.62%</t>
        </is>
      </c>
      <c r="I16" s="6" t="inlineStr">
        <is>
          <t>Học tập:
Năm học gần nhất đã có dữ liệu: lớp 10 (GPA 8.11). Môn có điểm cao: Tin học 8.8, Địa lý 8.7. Điểm thấp hơn tương đối: Sinh học 7.3.
Định hướng:
Em quan tâm môi trường và tự học vài việc nhỏ trên máy tính; ngành học vẫn còn để ngỏ.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Kinh doanh &amp; Quản lý - 42.31%; Tài chính - Ngân hàng - Bảo hiểm - 39.62%; Logistics &amp; Chuỗi cung ứng - 39.62%.</t>
        </is>
      </c>
    </row>
    <row r="17" ht="118" customHeight="1">
      <c r="A17" s="5" t="n">
        <v>16</v>
      </c>
      <c r="B17" s="6" t="inlineStr">
        <is>
          <t>HS11-004</t>
        </is>
      </c>
      <c r="C17" s="5" t="n">
        <v>11</v>
      </c>
      <c r="D17" s="14">
        <f>'Môn học'!O17</f>
        <v>6.9</v>
      </c>
      <c r="E17" s="6" t="inlineStr">
        <is>
          <t>Chưa có kế hoạch nghề rõ; trước mắt có thể so sánh một vài nhóm ngành.</t>
        </is>
      </c>
      <c r="F17" s="6" t="inlineStr">
        <is>
          <t>Khoa học Xã hội &amp; Nhân văn - 39.03%</t>
        </is>
      </c>
      <c r="G17" s="6" t="inlineStr">
        <is>
          <t>Sư phạm &amp; Giáo dục - 37.28%</t>
        </is>
      </c>
      <c r="H17" s="6" t="inlineStr">
        <is>
          <t>Hóa học &amp; Công nghệ Vật liệu - 37.05%</t>
        </is>
      </c>
      <c r="I17" s="6" t="inlineStr">
        <is>
          <t>Học tập:
Năm học gần nhất đã có dữ liệu: lớp 10 (GPA 8.22). Môn có điểm cao: Lịch sử 9.3, Tin học 8.6. Điểm thấp hơn tương đối: Tiếng Anh 7.3.
Định hướng:
Chưa có kế hoạch nghề rõ; trước mắt có thể so sánh một vài nhóm ngành.
Tính cách:
Chưa có dữ liệu tính cách/RIASEC.
Nhận xét:
Top 3 do career_matching.py hiện tại tính: Khoa học Xã hội &amp; Nhân văn - 39.03%; Sư phạm &amp; Giáo dục - 37.28%; Hóa học &amp; Công nghệ Vật liệu - 37.05%.</t>
        </is>
      </c>
    </row>
    <row r="18" ht="118" customHeight="1">
      <c r="A18" s="5" t="n">
        <v>17</v>
      </c>
      <c r="B18" s="6" t="inlineStr">
        <is>
          <t>HS11-005</t>
        </is>
      </c>
      <c r="C18" s="5" t="n">
        <v>11</v>
      </c>
      <c r="D18" s="14">
        <f>'Môn học'!O18</f>
        <v>6.68</v>
      </c>
      <c r="E18" s="6" t="inlineStr">
        <is>
          <t>Chưa xác định; nên tiếp tục khám phá môn học và hoạt động trước khi chọn.</t>
        </is>
      </c>
      <c r="F18" s="6" t="inlineStr">
        <is>
          <t>Y dược &amp; Khoa học Sức khỏe - 35.76%</t>
        </is>
      </c>
      <c r="G18" s="6" t="inlineStr">
        <is>
          <t>Môi trường &amp; Tài nguyên - 35.76%</t>
        </is>
      </c>
      <c r="H18" s="6" t="inlineStr">
        <is>
          <t>Nông - Lâm - Thủy sản - 35.76%</t>
        </is>
      </c>
      <c r="I18" s="6" t="inlineStr">
        <is>
          <t>Học tập:
Năm học gần nhất đã có dữ liệu: lớp 10 (GPA 8.28). Môn có điểm cao: Tin học 9.3, Tiếng Anh 9.2. Điểm thấp hơn tương đối: Địa lý 7.4.
Định hướng:
Chưa xác định; nên tiếp tục khám phá môn học và hoạt động trước khi chọn.
Tính cách:
Chưa có dữ liệu tính cách/RIASEC.
Nhận xét:
Top 3 do career_matching.py hiện tại tính: Y dược &amp; Khoa học Sức khỏe - 35.76%; Môi trường &amp; Tài nguyên - 35.76%; Nông - Lâm - Thủy sản - 35.76%.</t>
        </is>
      </c>
    </row>
    <row r="19" ht="118" customHeight="1">
      <c r="A19" s="5" t="n">
        <v>18</v>
      </c>
      <c r="B19" s="6" t="inlineStr">
        <is>
          <t>HS11-006</t>
        </is>
      </c>
      <c r="C19" s="5" t="n">
        <v>11</v>
      </c>
      <c r="D19" s="14">
        <f>'Môn học'!O19</f>
        <v>7.58</v>
      </c>
      <c r="E19" s="6" t="inlineStr">
        <is>
          <t>Em thích Sinh học; có thể tìm hiểu thêm khoa học sức khỏe hoặc giáo dục.</t>
        </is>
      </c>
      <c r="F19" s="6" t="inlineStr">
        <is>
          <t>Hàng không &amp; Hàng hải - 53.06%</t>
        </is>
      </c>
      <c r="G19" s="6" t="inlineStr">
        <is>
          <t>Kinh doanh &amp; Quản lý - 52.05%</t>
        </is>
      </c>
      <c r="H19" s="6" t="inlineStr">
        <is>
          <t>Truyền thông, Báo chí &amp; MKT - 52.03%</t>
        </is>
      </c>
      <c r="I19" s="6" t="inlineStr">
        <is>
          <t>Học tập:
Năm học gần nhất đã có dữ liệu: lớp 10 (GPA 8.15). Môn có điểm cao: Địa lý 9.1, Hóa học 8.9. Điểm thấp hơn tương đối: Tin học 7.3.
Định hướng:
Em thích Sinh học; có thể tìm hiểu thêm khoa học sức khỏe hoặc giáo dục.
Tính cách:
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
Nhận xét:
Top 3 do career_matching.py hiện tại tính: Hàng không &amp; Hàng hải - 53.06%; Kinh doanh &amp; Quản lý - 52.05%; Truyền thông, Báo chí &amp; MKT - 52.03%.</t>
        </is>
      </c>
    </row>
    <row r="20" ht="118" customHeight="1">
      <c r="A20" s="5" t="n">
        <v>19</v>
      </c>
      <c r="B20" s="6" t="inlineStr">
        <is>
          <t>HS11-007</t>
        </is>
      </c>
      <c r="C20" s="5" t="n">
        <v>11</v>
      </c>
      <c r="D20" s="14">
        <f>'Môn học'!O20</f>
        <v>7.07</v>
      </c>
      <c r="E20" s="6" t="inlineStr">
        <is>
          <t>Em quan tâm máy tính và game chiến thuật; công nghệ là một hướng để tìm hiểu, chưa phải lựa chọn chắc chắn.</t>
        </is>
      </c>
      <c r="F20" s="6" t="inlineStr">
        <is>
          <t>Sư phạm &amp; Giáo dục - 40.05%</t>
        </is>
      </c>
      <c r="G20" s="6" t="inlineStr">
        <is>
          <t>Khoa học Xã hội &amp; Nhân văn - 38.79%</t>
        </is>
      </c>
      <c r="H20" s="6" t="inlineStr">
        <is>
          <t>Truyền thông, Báo chí &amp; MKT - 37.48%</t>
        </is>
      </c>
      <c r="I20" s="6" t="inlineStr">
        <is>
          <t>Học tập:
Năm học gần nhất đã có dữ liệu: lớp 10 (GPA 8.21). Môn có điểm cao: Tin học 8.9, Lịch sử 8.7. Điểm thấp hơn tương đối: Tiếng Anh 7.5.
Định hướng:
Em quan tâm máy tính và game chiến thuật; công nghệ là một hướng để tìm hiểu, chưa phải lựa chọn chắc chắn.
Tính cách:
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
Nhận xét:
Top 3 do career_matching.py hiện tại tính: Sư phạm &amp; Giáo dục - 40.05%; Khoa học Xã hội &amp; Nhân văn - 38.79%; Truyền thông, Báo chí &amp; MKT - 37.48%.</t>
        </is>
      </c>
    </row>
    <row r="21" ht="118" customHeight="1">
      <c r="A21" s="5" t="n">
        <v>20</v>
      </c>
      <c r="B21" s="6" t="inlineStr">
        <is>
          <t>HS11-008</t>
        </is>
      </c>
      <c r="C21" s="5" t="n">
        <v>11</v>
      </c>
      <c r="D21" s="14">
        <f>'Môn học'!O21</f>
        <v>7</v>
      </c>
      <c r="E21" s="6" t="inlineStr">
        <is>
          <t>Em thích câu đố logic và kiên trì tìm lời giải; có thể khám phá khoa học hoặc dữ liệu.</t>
        </is>
      </c>
      <c r="F21" s="6" t="inlineStr">
        <is>
          <t>Khoa học Xã hội &amp; Nhân văn - 38.42%</t>
        </is>
      </c>
      <c r="G21" s="6" t="inlineStr">
        <is>
          <t>Sư phạm &amp; Giáo dục - 34.82%</t>
        </is>
      </c>
      <c r="H21" s="6" t="inlineStr">
        <is>
          <t>Y dược &amp; Khoa học Sức khỏe - 34.35%</t>
        </is>
      </c>
      <c r="I21" s="6" t="inlineStr">
        <is>
          <t>Học tập:
Năm học gần nhất đã có dữ liệu: lớp 10 (GPA 8.18). Môn có điểm cao: Ngữ văn 9.1, Toán 8.8. Điểm thấp hơn tương đối: Lịch sử 7.3.
Định hướng:
Em thích câu đố logic và kiên trì tìm lời giải; có thể khám phá khoa học hoặc dữ liệu.
Tính cách:
Chưa có dữ liệu tính cách/RIASEC.
Nhận xét:
Top 3 do career_matching.py hiện tại tính: Khoa học Xã hội &amp; Nhân văn - 38.42%; Sư phạm &amp; Giáo dục - 34.82%; Y dược &amp; Khoa học Sức khỏe - 34.35%.</t>
        </is>
      </c>
    </row>
    <row r="22" ht="118" customHeight="1">
      <c r="A22" s="5" t="n">
        <v>21</v>
      </c>
      <c r="B22" s="6" t="inlineStr">
        <is>
          <t>HS11-009</t>
        </is>
      </c>
      <c r="C22" s="5" t="n">
        <v>11</v>
      </c>
      <c r="D22" s="14">
        <f>'Môn học'!O22</f>
        <v>7.55</v>
      </c>
      <c r="E22" s="6" t="inlineStr">
        <is>
          <t>Em quan tâm công việc với con người; kết quả học tập hiện cho thấy thế mạnh phân hóa giữa các môn.</t>
        </is>
      </c>
      <c r="F22" s="6" t="inlineStr">
        <is>
          <t>Sư phạm &amp; Giáo dục - 41.49%</t>
        </is>
      </c>
      <c r="G22" s="6" t="inlineStr">
        <is>
          <t>Khoa học Xã hội &amp; Nhân văn - 40.14%</t>
        </is>
      </c>
      <c r="H22" s="6" t="inlineStr">
        <is>
          <t>Truyền thông, Báo chí &amp; MKT - 39.89%</t>
        </is>
      </c>
      <c r="I22" s="6" t="inlineStr">
        <is>
          <t>Học tập:
Năm học gần nhất đã có dữ liệu: lớp 10 (GPA 7.81). Môn có điểm cao: Tiếng Anh 8.6, Toán 8.6. Điểm thấp hơn tương đối: Lịch sử 7.2.
Định hướng:
Em quan tâm công việc với con người; kết quả học tập hiện cho thấy thế mạnh phân hóa giữa các môn.
Tính cách:
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
Nhận xét:
Top 3 do career_matching.py hiện tại tính: Sư phạm &amp; Giáo dục - 41.49%; Khoa học Xã hội &amp; Nhân văn - 40.14%; Truyền thông, Báo chí &amp; MKT - 39.89%.</t>
        </is>
      </c>
    </row>
    <row r="23" ht="118" customHeight="1">
      <c r="A23" s="5" t="n">
        <v>22</v>
      </c>
      <c r="B23" s="6" t="inlineStr">
        <is>
          <t>HS11-010</t>
        </is>
      </c>
      <c r="C23" s="5" t="n">
        <v>11</v>
      </c>
      <c r="D23" s="14">
        <f>'Môn học'!O23</f>
        <v>8.1199999999999992</v>
      </c>
      <c r="E23" s="6" t="inlineStr">
        <is>
          <t>Em thích máy tính và trò chơi chiến thuật; có thể tìm hiểu công nghệ hoặc kinh doanh số.</t>
        </is>
      </c>
      <c r="F23" s="6" t="inlineStr">
        <is>
          <t>Truyền thông, Báo chí &amp; MKT - 61.23%</t>
        </is>
      </c>
      <c r="G23" s="6" t="inlineStr">
        <is>
          <t>Kinh doanh &amp; Quản lý - 59.43%</t>
        </is>
      </c>
      <c r="H23" s="6" t="inlineStr">
        <is>
          <t>Tài chính - Ngân hàng - Bảo hiểm - 59.43%</t>
        </is>
      </c>
      <c r="I23" s="6" t="inlineStr">
        <is>
          <t>Học tập:
Năm học gần nhất đã có dữ liệu: lớp 10 (GPA 8.11). Môn có điểm cao: Lịch sử 9.3, Sinh học 8.9. Điểm thấp hơn tương đối: Toán 7.1.
Định hướng:
Em thích máy tính và trò chơi chiến thuật; có thể tìm hiểu công nghệ hoặc kinh doanh số.
Tính cách:
Chưa có dữ liệu tính cách/RIASEC.
Nhận xét:
Top 3 do career_matching.py hiện tại tính: Truyền thông, Báo chí &amp; MKT - 61.23%; Kinh doanh &amp; Quản lý - 59.43%; Tài chính - Ngân hàng - Bảo hiểm - 59.43%.</t>
        </is>
      </c>
    </row>
    <row r="24" ht="118" customHeight="1">
      <c r="A24" s="5" t="n">
        <v>23</v>
      </c>
      <c r="B24" s="6" t="inlineStr">
        <is>
          <t>HS10-001</t>
        </is>
      </c>
      <c r="C24" s="5" t="n">
        <v>10</v>
      </c>
      <c r="D24" s="14">
        <f>'Môn học'!O24</f>
        <v>6.42</v>
      </c>
      <c r="E24" s="6" t="inlineStr">
        <is>
          <t>Em thích Sinh học; có thể khám phá ngành sức khỏe hoặc khoa học sự sống.</t>
        </is>
      </c>
      <c r="F24" s="6" t="inlineStr">
        <is>
          <t>Sư phạm &amp; Giáo dục - 34.44%</t>
        </is>
      </c>
      <c r="G24" s="6" t="inlineStr">
        <is>
          <t>Khoa học Xã hội &amp; Nhân văn - 33.64%</t>
        </is>
      </c>
      <c r="H24" s="6" t="inlineStr">
        <is>
          <t>Truyền thông, Báo chí &amp; MKT - 33.10%</t>
        </is>
      </c>
      <c r="I24" s="6" t="inlineStr">
        <is>
          <t>Học tập:
Điểm tạm tính trong năm học lớp 10: 8.14; chưa phải GPA cả năm. Môn có điểm cao: Sinh học 9.2, Tiếng Anh 8.2. Điểm thấp hơn tương đối: Lịch sử 7.7.
Định hướng:
Em thích Sinh học; có thể khám phá ngành sức khỏe hoặc khoa học sự sống.
Tính cách:
Chưa có dữ liệu tính cách/RIASEC.
Nhận xét:
Top 3 do career_matching.py hiện tại tính: Sư phạm &amp; Giáo dục - 34.44%; Khoa học Xã hội &amp; Nhân văn - 33.64%; Truyền thông, Báo chí &amp; MKT - 33.10%.</t>
        </is>
      </c>
    </row>
    <row r="25" ht="118" customHeight="1">
      <c r="A25" s="5" t="n">
        <v>24</v>
      </c>
      <c r="B25" s="6" t="inlineStr">
        <is>
          <t>HS10-002</t>
        </is>
      </c>
      <c r="C25" s="5" t="n">
        <v>10</v>
      </c>
      <c r="D25" s="14">
        <f>'Môn học'!O25</f>
        <v>7.03</v>
      </c>
      <c r="E25" s="6" t="inlineStr">
        <is>
          <t>Em hay vẽ lúc rảnh; có thể tìm hiểu thiết kế, minh họa hoặc truyền thông hình ảnh.</t>
        </is>
      </c>
      <c r="F25" s="6" t="inlineStr">
        <is>
          <t>Khoa học Xã hội &amp; Nhân văn - 38.55%</t>
        </is>
      </c>
      <c r="G25" s="6" t="inlineStr">
        <is>
          <t>Sư phạm &amp; Giáo dục - 37.11%</t>
        </is>
      </c>
      <c r="H25" s="6" t="inlineStr">
        <is>
          <t>Kỹ thuật &amp; Tự động hóa - 36.02%</t>
        </is>
      </c>
      <c r="I25" s="6" t="inlineStr">
        <is>
          <t>Học tập:
Điểm tạm tính trong năm học lớp 10: 8.24; chưa phải GPA cả năm. Môn có điểm cao: Ngữ văn 8.9, Địa lý 8.6. Điểm thấp hơn tương đối: Vật lý 7.6.
Định hướng:
Em hay vẽ lúc rảnh; có thể tìm hiểu thiết kế, minh họa hoặc truyền thông hình ảnh.
Tính cách:
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
Nhận xét:
Top 3 do career_matching.py hiện tại tính: Khoa học Xã hội &amp; Nhân văn - 38.55%; Sư phạm &amp; Giáo dục - 37.11%; Kỹ thuật &amp; Tự động hóa - 36.02%.</t>
        </is>
      </c>
    </row>
    <row r="26" ht="118" customHeight="1">
      <c r="A26" s="5" t="n">
        <v>25</v>
      </c>
      <c r="B26" s="6" t="inlineStr">
        <is>
          <t>HS10-003</t>
        </is>
      </c>
      <c r="C26" s="5" t="n">
        <v>10</v>
      </c>
      <c r="D26" s="14">
        <f>'Môn học'!O26</f>
        <v>7.32</v>
      </c>
      <c r="E26" s="6" t="inlineStr">
        <is>
          <t>Chưa có định hướng rõ; hiện nên thử nhiều môn và hoạt động khác nhau.</t>
        </is>
      </c>
      <c r="F26" s="6" t="inlineStr">
        <is>
          <t>Sư phạm &amp; Giáo dục - 40.36%</t>
        </is>
      </c>
      <c r="G26" s="6" t="inlineStr">
        <is>
          <t>Hàng không &amp; Hàng hải - 39.02%</t>
        </is>
      </c>
      <c r="H26" s="6" t="inlineStr">
        <is>
          <t>Khoa học Xã hội &amp; Nhân văn - 38.76%</t>
        </is>
      </c>
      <c r="I26" s="6" t="inlineStr">
        <is>
          <t>Học tập:
Điểm tạm tính trong năm học lớp 10: 8.10; chưa phải GPA cả năm. Môn có điểm cao: Toán 8.4, Vật lý 8.3.
Định hướng:
Chưa có định hướng rõ; hiện nên thử nhiều môn và hoạt động khác nhau.
Tính cách:
Chưa có dữ liệu tính cách/RIASEC.
Nhận xét:
Top 3 do career_matching.py hiện tại tính: Sư phạm &amp; Giáo dục - 40.36%; Hàng không &amp; Hàng hải - 39.02%; Khoa học Xã hội &amp; Nhân văn - 38.76%.</t>
        </is>
      </c>
    </row>
    <row r="27" ht="118" customHeight="1">
      <c r="A27" s="5" t="n">
        <v>26</v>
      </c>
      <c r="B27" s="6" t="inlineStr">
        <is>
          <t>HS10-004</t>
        </is>
      </c>
      <c r="C27" s="5" t="n">
        <v>10</v>
      </c>
      <c r="D27" s="14">
        <f>'Môn học'!O27</f>
        <v>7.32</v>
      </c>
      <c r="E27" s="6" t="inlineStr">
        <is>
          <t>Em chưa lập kế hoạch cụ thể; có thể so sánh nhóm khoa học với nhóm xã hội.</t>
        </is>
      </c>
      <c r="F27" s="6" t="inlineStr">
        <is>
          <t>Sư phạm &amp; Giáo dục - 42.28%</t>
        </is>
      </c>
      <c r="G27" s="6" t="inlineStr">
        <is>
          <t>Truyền thông, Báo chí &amp; MKT - 40.61%</t>
        </is>
      </c>
      <c r="H27" s="6" t="inlineStr">
        <is>
          <t>Khoa học Xã hội &amp; Nhân văn - 38.44%</t>
        </is>
      </c>
      <c r="I27" s="6" t="inlineStr">
        <is>
          <t>Học tập:
Điểm tạm tính trong năm học lớp 10: 8.07; chưa phải GPA cả năm. Môn có điểm cao: Tiếng Anh 8.5, Địa lý 8.3. Điểm thấp hơn tương đối: Ngữ văn 7.7.
Định hướng:
Em chưa lập kế hoạch cụ thể; có thể so sánh nhóm khoa học với nhóm xã hội.
Tính cách:
Chưa có dữ liệu tính cách/RIASEC.
Nhận xét:
Top 3 do career_matching.py hiện tại tính: Sư phạm &amp; Giáo dục - 42.28%; Truyền thông, Báo chí &amp; MKT - 40.61%; Khoa học Xã hội &amp; Nhân văn - 38.44%.</t>
        </is>
      </c>
    </row>
    <row r="28" ht="118" customHeight="1">
      <c r="A28" s="5" t="n">
        <v>27</v>
      </c>
      <c r="B28" s="6" t="inlineStr">
        <is>
          <t>HS10-005</t>
        </is>
      </c>
      <c r="C28" s="5" t="n">
        <v>10</v>
      </c>
      <c r="D28" s="14">
        <f>'Môn học'!O28</f>
        <v>7.37</v>
      </c>
      <c r="E28" s="6" t="inlineStr">
        <is>
          <t>Em đang tìm hiểu nhiều ngành có đầu ra rõ, chưa chọn một lĩnh vực.</t>
        </is>
      </c>
      <c r="F28" s="6" t="inlineStr">
        <is>
          <t>Khoa học Xã hội &amp; Nhân văn - 40.09%</t>
        </is>
      </c>
      <c r="G28" s="6" t="inlineStr">
        <is>
          <t>Quản lý Nhà nước &amp; Công tác Xã hội - 40.05%</t>
        </is>
      </c>
      <c r="H28" s="6" t="inlineStr">
        <is>
          <t>Luật &amp; An ninh - Quốc phòng - 39.40%</t>
        </is>
      </c>
      <c r="I28" s="6" t="inlineStr">
        <is>
          <t>Học tập:
Điểm tạm tính trong năm học lớp 10: 8.22; chưa phải GPA cả năm. Môn có điểm cao: Ngữ văn 8.7, Toán 8.6. Điểm thấp hơn tương đối: Giáo dục kinh tế và pháp luật 7.8.
Định hướng:
Em đang tìm hiểu nhiều ngành có đầu ra rõ, chưa chọn một lĩnh vực.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Khoa học Xã hội &amp; Nhân văn - 40.09%; Quản lý Nhà nước &amp; Công tác Xã hội - 40.05%; Luật &amp; An ninh - Quốc phòng - 39.40%.</t>
        </is>
      </c>
    </row>
    <row r="29" ht="118" customHeight="1">
      <c r="A29" s="5" t="n">
        <v>28</v>
      </c>
      <c r="B29" s="6" t="inlineStr">
        <is>
          <t>HS10-006</t>
        </is>
      </c>
      <c r="C29" s="5" t="n">
        <v>10</v>
      </c>
      <c r="D29" s="14">
        <f>'Môn học'!O29</f>
        <v>6.95</v>
      </c>
      <c r="E29" s="6" t="inlineStr">
        <is>
          <t>Em quan tâm công việc có tương tác với mọi người; có thể tìm hiểu giáo dục hoặc cộng đồng.</t>
        </is>
      </c>
      <c r="F29" s="6" t="inlineStr">
        <is>
          <t>Kinh doanh &amp; Quản lý - 42.17%</t>
        </is>
      </c>
      <c r="G29" s="6" t="inlineStr">
        <is>
          <t>Tài chính - Ngân hàng - Bảo hiểm - 39.75%</t>
        </is>
      </c>
      <c r="H29" s="6" t="inlineStr">
        <is>
          <t>Logistics &amp; Chuỗi cung ứng - 39.75%</t>
        </is>
      </c>
      <c r="I29" s="6" t="inlineStr">
        <is>
          <t>Học tập:
Điểm tạm tính trong năm học lớp 10: 8.32; chưa phải GPA cả năm. Môn có điểm cao: Địa lý 8.9, Ngữ văn 8.8. Điểm thấp hơn tương đối: Vật lý 7.4.
Định hướng:
Em quan tâm công việc có tương tác với mọi người; có thể tìm hiểu giáo dục hoặc cộng đồng.
Tính cách:
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
Nhận xét:
Top 3 do career_matching.py hiện tại tính: Kinh doanh &amp; Quản lý - 42.17%; Tài chính - Ngân hàng - Bảo hiểm - 39.75%; Logistics &amp; Chuỗi cung ứng - 39.75%.</t>
        </is>
      </c>
    </row>
    <row r="30" ht="118" customHeight="1">
      <c r="A30" s="5" t="n">
        <v>29</v>
      </c>
      <c r="B30" s="6" t="inlineStr">
        <is>
          <t>HS10-007</t>
        </is>
      </c>
      <c r="C30" s="5" t="n">
        <v>10</v>
      </c>
      <c r="D30" s="14">
        <f>'Môn học'!O30</f>
        <v>6.9</v>
      </c>
      <c r="E30" s="6" t="inlineStr">
        <is>
          <t>Em có thể hợp với các hướng làm việc nhóm hoặc xã hội; chưa cần chọn ngay.</t>
        </is>
      </c>
      <c r="F30" s="6" t="inlineStr">
        <is>
          <t>Quản lý Nhà nước &amp; Công tác Xã hội - 40.15%</t>
        </is>
      </c>
      <c r="G30" s="6" t="inlineStr">
        <is>
          <t>Sư phạm &amp; Giáo dục - 39.58%</t>
        </is>
      </c>
      <c r="H30" s="6" t="inlineStr">
        <is>
          <t>Khoa học Xã hội &amp; Nhân văn - 39.14%</t>
        </is>
      </c>
      <c r="I30" s="6" t="inlineStr">
        <is>
          <t>Học tập:
Điểm tạm tính trong năm học lớp 10: 8.47; chưa phải GPA cả năm. Môn có điểm cao: Giáo dục kinh tế và pháp luật 8.9, Lịch sử 8.8. Điểm thấp hơn tương đối: Tiếng Anh 8.0.
Định hướng:
Em có thể hợp với các hướng làm việc nhóm hoặc xã hội; chưa cần chọn ngay.
Tính cách:
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
Nhận xét:
Top 3 do career_matching.py hiện tại tính: Quản lý Nhà nước &amp; Công tác Xã hội - 40.15%; Sư phạm &amp; Giáo dục - 39.58%; Khoa học Xã hội &amp; Nhân văn - 39.14%.</t>
        </is>
      </c>
    </row>
    <row r="31" ht="118" customHeight="1">
      <c r="A31" s="5" t="n">
        <v>30</v>
      </c>
      <c r="B31" s="6" t="inlineStr">
        <is>
          <t>HS10-008</t>
        </is>
      </c>
      <c r="C31" s="5" t="n">
        <v>10</v>
      </c>
      <c r="D31" s="14">
        <f>'Môn học'!O31</f>
        <v>7.17</v>
      </c>
      <c r="E31" s="6" t="inlineStr">
        <is>
          <t>Em còn muốn tìm hiểu thêm; có thể thử các lĩnh vực sáng tạo, kinh doanh hoặc công nghệ.</t>
        </is>
      </c>
      <c r="F31" s="6" t="inlineStr">
        <is>
          <t>Kinh doanh &amp; Quản lý - 39.69%</t>
        </is>
      </c>
      <c r="G31" s="6" t="inlineStr">
        <is>
          <t>Tài chính - Ngân hàng - Bảo hiểm - 39.54%</t>
        </is>
      </c>
      <c r="H31" s="6" t="inlineStr">
        <is>
          <t>Logistics &amp; Chuỗi cung ứng - 39.54%</t>
        </is>
      </c>
      <c r="I31" s="6" t="inlineStr">
        <is>
          <t>Học tập:
Điểm tạm tính trong năm học lớp 10: 8.31; chưa phải GPA cả năm. Môn có điểm cao: Tiếng Anh 9.0, Toán 8.8. Điểm thấp hơn tương đối: Sinh học 7.7.
Định hướng:
Em còn muốn tìm hiểu thêm; có thể thử các lĩnh vực sáng tạo, kinh doanh hoặc công nghệ.
Tính cách:
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
Nhận xét:
Top 3 do career_matching.py hiện tại tính: Kinh doanh &amp; Quản lý - 39.69%; Tài chính - Ngân hàng - Bảo hiểm - 39.54%; Logistics &amp; Chuỗi cung ứng - 39.54%.</t>
        </is>
      </c>
    </row>
  </sheetData>
  <autoFilter ref="A1:I31"/>
  <pageMargins left="0.75" right="0.75" top="1" bottom="1" header="0.5" footer="0.5"/>
  <pageSetup orientation="landscape" fitToHeight="0" fitToWidth="1"/>
  <legacyDrawing ns1:id="anysvml"/>
</worksheet>
</file>

<file path=xl/worksheets/sheet2.xml><?xml version="1.0" encoding="utf-8"?>
<worksheet xmlns="http://schemas.openxmlformats.org/spreadsheetml/2006/main" xmlns:ns1="http://schemas.openxmlformats.org/officeDocument/2006/relationships">
  <sheetPr>
    <tabColor rgb="0070AD47"/>
    <outlinePr summaryBelow="1" summaryRight="1"/>
    <pageSetUpPr fitToPage="1"/>
  </sheetPr>
  <dimension ref="A1:Z31"/>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5" customWidth="1" min="2" max="2"/>
    <col width="9" customWidth="1" min="3" max="3"/>
    <col width="4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7"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7" customWidth="1" min="26" max="26"/>
  </cols>
  <sheetData>
    <row r="1" ht="42" customHeight="1">
      <c r="A1" s="4" t="inlineStr">
        <is>
          <t>No.</t>
        </is>
      </c>
      <c r="B1" s="4" t="inlineStr">
        <is>
          <t>HS+No.</t>
        </is>
      </c>
      <c r="C1" s="4" t="inlineStr">
        <is>
          <t>Khối</t>
        </is>
      </c>
      <c r="D1" s="4" t="inlineStr">
        <is>
          <t>Tổ hợp môn tự chọn</t>
        </is>
      </c>
      <c r="E1" s="4" t="inlineStr">
        <is>
          <t>Lớp 10 - Toán</t>
        </is>
      </c>
      <c r="F1" s="4" t="inlineStr">
        <is>
          <t>Lớp 10 - Ngữ văn</t>
        </is>
      </c>
      <c r="G1" s="4" t="inlineStr">
        <is>
          <t>Lớp 10 - Tiếng Anh</t>
        </is>
      </c>
      <c r="H1" s="4" t="inlineStr">
        <is>
          <t>Lớp 10 - Lịch sử</t>
        </is>
      </c>
      <c r="I1" s="4" t="inlineStr">
        <is>
          <t>Lớp 10 - Vật lý</t>
        </is>
      </c>
      <c r="J1" s="4" t="inlineStr">
        <is>
          <t>Lớp 10 - Hóa học</t>
        </is>
      </c>
      <c r="K1" s="4" t="inlineStr">
        <is>
          <t>Lớp 10 - Sinh học</t>
        </is>
      </c>
      <c r="L1" s="4" t="inlineStr">
        <is>
          <t>Lớp 10 - Địa lý</t>
        </is>
      </c>
      <c r="M1" s="4" t="inlineStr">
        <is>
          <t>Lớp 10 - Giáo dục kinh tế và pháp luật</t>
        </is>
      </c>
      <c r="N1" s="4" t="inlineStr">
        <is>
          <t>Lớp 10 - Tin học</t>
        </is>
      </c>
      <c r="O1" s="4" t="inlineStr">
        <is>
          <t>GPA lớp 10</t>
        </is>
      </c>
      <c r="P1" s="4" t="inlineStr">
        <is>
          <t>Lớp 11 - Toán</t>
        </is>
      </c>
      <c r="Q1" s="4" t="inlineStr">
        <is>
          <t>Lớp 11 - Ngữ văn</t>
        </is>
      </c>
      <c r="R1" s="4" t="inlineStr">
        <is>
          <t>Lớp 11 - Tiếng Anh</t>
        </is>
      </c>
      <c r="S1" s="4" t="inlineStr">
        <is>
          <t>Lớp 11 - Lịch sử</t>
        </is>
      </c>
      <c r="T1" s="4" t="inlineStr">
        <is>
          <t>Lớp 11 - Vật lý</t>
        </is>
      </c>
      <c r="U1" s="4" t="inlineStr">
        <is>
          <t>Lớp 11 - Hóa học</t>
        </is>
      </c>
      <c r="V1" s="4" t="inlineStr">
        <is>
          <t>Lớp 11 - Sinh học</t>
        </is>
      </c>
      <c r="W1" s="4" t="inlineStr">
        <is>
          <t>Lớp 11 - Địa lý</t>
        </is>
      </c>
      <c r="X1" s="4" t="inlineStr">
        <is>
          <t>Lớp 11 - Giáo dục kinh tế và pháp luật</t>
        </is>
      </c>
      <c r="Y1" s="4" t="inlineStr">
        <is>
          <t>Lớp 11 - Tin học</t>
        </is>
      </c>
      <c r="Z1" s="4" t="inlineStr">
        <is>
          <t>GPA lớp 11</t>
        </is>
      </c>
    </row>
    <row r="2" ht="30" customHeight="1">
      <c r="A2" s="15" t="n">
        <v>1</v>
      </c>
      <c r="B2" s="15" t="inlineStr">
        <is>
          <t>HS12-001</t>
        </is>
      </c>
      <c r="C2" s="15" t="n">
        <v>12</v>
      </c>
      <c r="D2" s="16" t="inlineStr">
        <is>
          <t>Vật lý; Hóa học; Tin học; Giáo dục kinh tế và pháp luật</t>
        </is>
      </c>
      <c r="E2" s="15" t="n">
        <v>6.8</v>
      </c>
      <c r="F2" s="15" t="n">
        <v>9.4</v>
      </c>
      <c r="G2" s="15" t="n">
        <v>6.2</v>
      </c>
      <c r="H2" s="15" t="n">
        <v>5.7</v>
      </c>
      <c r="I2" s="15" t="inlineStr">
        <is>
          <t>—</t>
        </is>
      </c>
      <c r="J2" s="15" t="n">
        <v>7.5</v>
      </c>
      <c r="K2" s="15" t="n">
        <v>5.5</v>
      </c>
      <c r="L2" s="15" t="inlineStr">
        <is>
          <t>—</t>
        </is>
      </c>
      <c r="M2" s="15" t="inlineStr">
        <is>
          <t>—</t>
        </is>
      </c>
      <c r="N2" s="15" t="inlineStr">
        <is>
          <t>—</t>
        </is>
      </c>
      <c r="O2" s="17">
        <f>ROUND(AVERAGE(E2:N2),2)</f>
        <v>6.85</v>
      </c>
      <c r="P2" s="15" t="n">
        <v>4.3</v>
      </c>
      <c r="Q2" s="15" t="n">
        <v>8.1</v>
      </c>
      <c r="R2" s="15" t="n">
        <v>8.1</v>
      </c>
      <c r="S2" s="15" t="n">
        <v>7</v>
      </c>
      <c r="T2" s="15" t="inlineStr">
        <is>
          <t>—</t>
        </is>
      </c>
      <c r="U2" s="15" t="n">
        <v>6</v>
      </c>
      <c r="V2" s="15" t="n">
        <v>4.4</v>
      </c>
      <c r="W2" s="15" t="inlineStr">
        <is>
          <t>—</t>
        </is>
      </c>
      <c r="X2" s="15" t="inlineStr">
        <is>
          <t>—</t>
        </is>
      </c>
      <c r="Y2" s="15" t="inlineStr">
        <is>
          <t>—</t>
        </is>
      </c>
      <c r="Z2" s="17">
        <f>ROUND(AVERAGE(P2:Y2),2)</f>
        <v>6.32</v>
      </c>
    </row>
    <row r="3" ht="30" customHeight="1">
      <c r="A3" s="15" t="n">
        <v>2</v>
      </c>
      <c r="B3" s="15" t="inlineStr">
        <is>
          <t>HS12-002</t>
        </is>
      </c>
      <c r="C3" s="15" t="n">
        <v>12</v>
      </c>
      <c r="D3" s="16" t="inlineStr">
        <is>
          <t>Vật lý; Hóa học; Tin học; Giáo dục kinh tế và pháp luật</t>
        </is>
      </c>
      <c r="E3" s="15" t="n">
        <v>6.1</v>
      </c>
      <c r="F3" s="15" t="n">
        <v>7.2</v>
      </c>
      <c r="G3" s="15" t="n">
        <v>7.9</v>
      </c>
      <c r="H3" s="15" t="n">
        <v>5.9</v>
      </c>
      <c r="I3" s="15" t="inlineStr">
        <is>
          <t>—</t>
        </is>
      </c>
      <c r="J3" s="15" t="inlineStr">
        <is>
          <t>—</t>
        </is>
      </c>
      <c r="K3" s="15" t="inlineStr">
        <is>
          <t>—</t>
        </is>
      </c>
      <c r="L3" s="15" t="n">
        <v>5.9</v>
      </c>
      <c r="M3" s="15" t="n">
        <v>7.6</v>
      </c>
      <c r="N3" s="15" t="inlineStr">
        <is>
          <t>—</t>
        </is>
      </c>
      <c r="O3" s="17">
        <f>ROUND(AVERAGE(E3:N3),2)</f>
        <v>6.77</v>
      </c>
      <c r="P3" s="15" t="n">
        <v>8.800000000000001</v>
      </c>
      <c r="Q3" s="15" t="n">
        <v>8.5</v>
      </c>
      <c r="R3" s="15" t="n">
        <v>8.6</v>
      </c>
      <c r="S3" s="15" t="n">
        <v>7.2</v>
      </c>
      <c r="T3" s="15" t="inlineStr">
        <is>
          <t>—</t>
        </is>
      </c>
      <c r="U3" s="15" t="inlineStr">
        <is>
          <t>—</t>
        </is>
      </c>
      <c r="V3" s="15" t="inlineStr">
        <is>
          <t>—</t>
        </is>
      </c>
      <c r="W3" s="15" t="n">
        <v>5.1</v>
      </c>
      <c r="X3" s="15" t="n">
        <v>6.8</v>
      </c>
      <c r="Y3" s="15" t="inlineStr">
        <is>
          <t>—</t>
        </is>
      </c>
      <c r="Z3" s="17">
        <f>ROUND(AVERAGE(P3:Y3),2)</f>
        <v>7.5</v>
      </c>
    </row>
    <row r="4" ht="30" customHeight="1">
      <c r="A4" s="15" t="n">
        <v>3</v>
      </c>
      <c r="B4" s="15" t="inlineStr">
        <is>
          <t>HS12-003</t>
        </is>
      </c>
      <c r="C4" s="15" t="n">
        <v>12</v>
      </c>
      <c r="D4" s="16" t="inlineStr">
        <is>
          <t>Vật lý; Hóa học; Tin học; Giáo dục kinh tế và pháp luật</t>
        </is>
      </c>
      <c r="E4" s="15" t="n">
        <v>5</v>
      </c>
      <c r="F4" s="15" t="n">
        <v>8.6</v>
      </c>
      <c r="G4" s="15" t="n">
        <v>6.4</v>
      </c>
      <c r="H4" s="15" t="n">
        <v>7.6</v>
      </c>
      <c r="I4" s="15" t="inlineStr">
        <is>
          <t>—</t>
        </is>
      </c>
      <c r="J4" s="15" t="inlineStr">
        <is>
          <t>—</t>
        </is>
      </c>
      <c r="K4" s="15" t="inlineStr">
        <is>
          <t>—</t>
        </is>
      </c>
      <c r="L4" s="15" t="n">
        <v>6.5</v>
      </c>
      <c r="M4" s="15" t="n">
        <v>6.2</v>
      </c>
      <c r="N4" s="15" t="inlineStr">
        <is>
          <t>—</t>
        </is>
      </c>
      <c r="O4" s="17">
        <f>ROUND(AVERAGE(E4:N4),2)</f>
        <v>6.72</v>
      </c>
      <c r="P4" s="15" t="n">
        <v>6</v>
      </c>
      <c r="Q4" s="15" t="n">
        <v>6.5</v>
      </c>
      <c r="R4" s="15" t="n">
        <v>7.1</v>
      </c>
      <c r="S4" s="15" t="n">
        <v>6.5</v>
      </c>
      <c r="T4" s="15" t="inlineStr">
        <is>
          <t>—</t>
        </is>
      </c>
      <c r="U4" s="15" t="inlineStr">
        <is>
          <t>—</t>
        </is>
      </c>
      <c r="V4" s="15" t="inlineStr">
        <is>
          <t>—</t>
        </is>
      </c>
      <c r="W4" s="15" t="n">
        <v>7</v>
      </c>
      <c r="X4" s="15" t="n">
        <v>6.9</v>
      </c>
      <c r="Y4" s="15" t="inlineStr">
        <is>
          <t>—</t>
        </is>
      </c>
      <c r="Z4" s="17">
        <f>ROUND(AVERAGE(P4:Y4),2)</f>
        <v>6.67</v>
      </c>
    </row>
    <row r="5" ht="30" customHeight="1">
      <c r="A5" s="15" t="n">
        <v>4</v>
      </c>
      <c r="B5" s="15" t="inlineStr">
        <is>
          <t>HS12-004</t>
        </is>
      </c>
      <c r="C5" s="15" t="n">
        <v>12</v>
      </c>
      <c r="D5" s="16" t="inlineStr">
        <is>
          <t>Vật lý; Hóa học; Tin học; Giáo dục kinh tế và pháp luật</t>
        </is>
      </c>
      <c r="E5" s="15" t="n">
        <v>8.199999999999999</v>
      </c>
      <c r="F5" s="15" t="n">
        <v>9.800000000000001</v>
      </c>
      <c r="G5" s="15" t="n">
        <v>7.3</v>
      </c>
      <c r="H5" s="15" t="n">
        <v>8.699999999999999</v>
      </c>
      <c r="I5" s="15" t="inlineStr">
        <is>
          <t>—</t>
        </is>
      </c>
      <c r="J5" s="15" t="n">
        <v>6.3</v>
      </c>
      <c r="K5" s="15" t="n">
        <v>7.3</v>
      </c>
      <c r="L5" s="15" t="inlineStr">
        <is>
          <t>—</t>
        </is>
      </c>
      <c r="M5" s="15" t="inlineStr">
        <is>
          <t>—</t>
        </is>
      </c>
      <c r="N5" s="15" t="inlineStr">
        <is>
          <t>—</t>
        </is>
      </c>
      <c r="O5" s="17">
        <f>ROUND(AVERAGE(E5:N5),2)</f>
        <v>7.93</v>
      </c>
      <c r="P5" s="15" t="n">
        <v>9</v>
      </c>
      <c r="Q5" s="15" t="n">
        <v>9.199999999999999</v>
      </c>
      <c r="R5" s="15" t="n">
        <v>6.5</v>
      </c>
      <c r="S5" s="15" t="n">
        <v>8.4</v>
      </c>
      <c r="T5" s="15" t="inlineStr">
        <is>
          <t>—</t>
        </is>
      </c>
      <c r="U5" s="15" t="n">
        <v>6</v>
      </c>
      <c r="V5" s="15" t="n">
        <v>8.1</v>
      </c>
      <c r="W5" s="15" t="inlineStr">
        <is>
          <t>—</t>
        </is>
      </c>
      <c r="X5" s="15" t="inlineStr">
        <is>
          <t>—</t>
        </is>
      </c>
      <c r="Y5" s="15" t="inlineStr">
        <is>
          <t>—</t>
        </is>
      </c>
      <c r="Z5" s="17">
        <f>ROUND(AVERAGE(P5:Y5),2)</f>
        <v>7.87</v>
      </c>
    </row>
    <row r="6" ht="30" customHeight="1">
      <c r="A6" s="15" t="n">
        <v>5</v>
      </c>
      <c r="B6" s="15" t="inlineStr">
        <is>
          <t>HS12-005</t>
        </is>
      </c>
      <c r="C6" s="15" t="n">
        <v>12</v>
      </c>
      <c r="D6" s="16" t="inlineStr">
        <is>
          <t>Vật lý; Hóa học; Tin học; Giáo dục kinh tế và pháp luật</t>
        </is>
      </c>
      <c r="E6" s="15" t="n">
        <v>7.4</v>
      </c>
      <c r="F6" s="15" t="n">
        <v>6.7</v>
      </c>
      <c r="G6" s="15" t="n">
        <v>8.9</v>
      </c>
      <c r="H6" s="15" t="n">
        <v>6.4</v>
      </c>
      <c r="I6" s="15" t="inlineStr">
        <is>
          <t>—</t>
        </is>
      </c>
      <c r="J6" s="15" t="inlineStr">
        <is>
          <t>—</t>
        </is>
      </c>
      <c r="K6" s="15" t="inlineStr">
        <is>
          <t>—</t>
        </is>
      </c>
      <c r="L6" s="15" t="n">
        <v>9.300000000000001</v>
      </c>
      <c r="M6" s="15" t="n">
        <v>8.1</v>
      </c>
      <c r="N6" s="15" t="inlineStr">
        <is>
          <t>—</t>
        </is>
      </c>
      <c r="O6" s="17">
        <f>ROUND(AVERAGE(E6:N6),2)</f>
        <v>7.8</v>
      </c>
      <c r="P6" s="15" t="n">
        <v>6.1</v>
      </c>
      <c r="Q6" s="15" t="n">
        <v>8.300000000000001</v>
      </c>
      <c r="R6" s="15" t="n">
        <v>6</v>
      </c>
      <c r="S6" s="15" t="n">
        <v>6.8</v>
      </c>
      <c r="T6" s="15" t="inlineStr">
        <is>
          <t>—</t>
        </is>
      </c>
      <c r="U6" s="15" t="inlineStr">
        <is>
          <t>—</t>
        </is>
      </c>
      <c r="V6" s="15" t="inlineStr">
        <is>
          <t>—</t>
        </is>
      </c>
      <c r="W6" s="15" t="n">
        <v>8.6</v>
      </c>
      <c r="X6" s="15" t="n">
        <v>6.6</v>
      </c>
      <c r="Y6" s="15" t="inlineStr">
        <is>
          <t>—</t>
        </is>
      </c>
      <c r="Z6" s="17">
        <f>ROUND(AVERAGE(P6:Y6),2)</f>
        <v>7.07</v>
      </c>
    </row>
    <row r="7" ht="30" customHeight="1">
      <c r="A7" s="15" t="n">
        <v>6</v>
      </c>
      <c r="B7" s="15" t="inlineStr">
        <is>
          <t>HS12-006</t>
        </is>
      </c>
      <c r="C7" s="15" t="n">
        <v>12</v>
      </c>
      <c r="D7" s="16" t="inlineStr">
        <is>
          <t>Vật lý; Hóa học; Tin học; Giáo dục kinh tế và pháp luật</t>
        </is>
      </c>
      <c r="E7" s="15" t="n">
        <v>6.2</v>
      </c>
      <c r="F7" s="15" t="n">
        <v>7.7</v>
      </c>
      <c r="G7" s="15" t="n">
        <v>5.9</v>
      </c>
      <c r="H7" s="15" t="n">
        <v>5.2</v>
      </c>
      <c r="I7" s="15" t="inlineStr">
        <is>
          <t>—</t>
        </is>
      </c>
      <c r="J7" s="15" t="inlineStr">
        <is>
          <t>—</t>
        </is>
      </c>
      <c r="K7" s="15" t="inlineStr">
        <is>
          <t>—</t>
        </is>
      </c>
      <c r="L7" s="15" t="n">
        <v>4.2</v>
      </c>
      <c r="M7" s="15" t="n">
        <v>6</v>
      </c>
      <c r="N7" s="15" t="inlineStr">
        <is>
          <t>—</t>
        </is>
      </c>
      <c r="O7" s="17">
        <f>ROUND(AVERAGE(E7:N7),2)</f>
        <v>5.87</v>
      </c>
      <c r="P7" s="15" t="n">
        <v>7.9</v>
      </c>
      <c r="Q7" s="15" t="n">
        <v>8</v>
      </c>
      <c r="R7" s="15" t="n">
        <v>6.3</v>
      </c>
      <c r="S7" s="15" t="n">
        <v>8.699999999999999</v>
      </c>
      <c r="T7" s="15" t="inlineStr">
        <is>
          <t>—</t>
        </is>
      </c>
      <c r="U7" s="15" t="inlineStr">
        <is>
          <t>—</t>
        </is>
      </c>
      <c r="V7" s="15" t="inlineStr">
        <is>
          <t>—</t>
        </is>
      </c>
      <c r="W7" s="15" t="n">
        <v>7.2</v>
      </c>
      <c r="X7" s="15" t="n">
        <v>4.4</v>
      </c>
      <c r="Y7" s="15" t="inlineStr">
        <is>
          <t>—</t>
        </is>
      </c>
      <c r="Z7" s="17">
        <f>ROUND(AVERAGE(P7:Y7),2)</f>
        <v>7.08</v>
      </c>
    </row>
    <row r="8" ht="30" customHeight="1">
      <c r="A8" s="15" t="n">
        <v>7</v>
      </c>
      <c r="B8" s="15" t="inlineStr">
        <is>
          <t>HS12-007</t>
        </is>
      </c>
      <c r="C8" s="15" t="n">
        <v>12</v>
      </c>
      <c r="D8" s="16" t="inlineStr">
        <is>
          <t>Vật lý; Hóa học; Tin học; Giáo dục kinh tế và pháp luật</t>
        </is>
      </c>
      <c r="E8" s="15" t="n">
        <v>7.9</v>
      </c>
      <c r="F8" s="15" t="n">
        <v>9</v>
      </c>
      <c r="G8" s="15" t="n">
        <v>8.300000000000001</v>
      </c>
      <c r="H8" s="15" t="n">
        <v>8.9</v>
      </c>
      <c r="I8" s="15" t="inlineStr">
        <is>
          <t>—</t>
        </is>
      </c>
      <c r="J8" s="15" t="n">
        <v>6.6</v>
      </c>
      <c r="K8" s="15" t="n">
        <v>7.8</v>
      </c>
      <c r="L8" s="15" t="inlineStr">
        <is>
          <t>—</t>
        </is>
      </c>
      <c r="M8" s="15" t="inlineStr">
        <is>
          <t>—</t>
        </is>
      </c>
      <c r="N8" s="15" t="inlineStr">
        <is>
          <t>—</t>
        </is>
      </c>
      <c r="O8" s="17">
        <f>ROUND(AVERAGE(E8:N8),2)</f>
        <v>8.08</v>
      </c>
      <c r="P8" s="15" t="n">
        <v>8.199999999999999</v>
      </c>
      <c r="Q8" s="15" t="n">
        <v>6.5</v>
      </c>
      <c r="R8" s="15" t="n">
        <v>8.199999999999999</v>
      </c>
      <c r="S8" s="15" t="n">
        <v>7.8</v>
      </c>
      <c r="T8" s="15" t="inlineStr">
        <is>
          <t>—</t>
        </is>
      </c>
      <c r="U8" s="15" t="n">
        <v>6.8</v>
      </c>
      <c r="V8" s="15" t="n">
        <v>4.9</v>
      </c>
      <c r="W8" s="15" t="inlineStr">
        <is>
          <t>—</t>
        </is>
      </c>
      <c r="X8" s="15" t="inlineStr">
        <is>
          <t>—</t>
        </is>
      </c>
      <c r="Y8" s="15" t="inlineStr">
        <is>
          <t>—</t>
        </is>
      </c>
      <c r="Z8" s="17">
        <f>ROUND(AVERAGE(P8:Y8),2)</f>
        <v>7.07</v>
      </c>
    </row>
    <row r="9" ht="30" customHeight="1">
      <c r="A9" s="15" t="n">
        <v>8</v>
      </c>
      <c r="B9" s="15" t="inlineStr">
        <is>
          <t>HS12-008</t>
        </is>
      </c>
      <c r="C9" s="15" t="n">
        <v>12</v>
      </c>
      <c r="D9" s="16" t="inlineStr">
        <is>
          <t>Vật lý; Hóa học; Tin học; Giáo dục kinh tế và pháp luật</t>
        </is>
      </c>
      <c r="E9" s="15" t="n">
        <v>6</v>
      </c>
      <c r="F9" s="15" t="n">
        <v>8.1</v>
      </c>
      <c r="G9" s="15" t="n">
        <v>4.6</v>
      </c>
      <c r="H9" s="15" t="n">
        <v>7.3</v>
      </c>
      <c r="I9" s="15" t="inlineStr">
        <is>
          <t>—</t>
        </is>
      </c>
      <c r="J9" s="15" t="n">
        <v>8.800000000000001</v>
      </c>
      <c r="K9" s="15" t="n">
        <v>5.9</v>
      </c>
      <c r="L9" s="15" t="inlineStr">
        <is>
          <t>—</t>
        </is>
      </c>
      <c r="M9" s="15" t="inlineStr">
        <is>
          <t>—</t>
        </is>
      </c>
      <c r="N9" s="15" t="inlineStr">
        <is>
          <t>—</t>
        </is>
      </c>
      <c r="O9" s="17">
        <f>ROUND(AVERAGE(E9:N9),2)</f>
        <v>6.78</v>
      </c>
      <c r="P9" s="15" t="n">
        <v>5.1</v>
      </c>
      <c r="Q9" s="15" t="n">
        <v>7.5</v>
      </c>
      <c r="R9" s="15" t="n">
        <v>5.3</v>
      </c>
      <c r="S9" s="15" t="n">
        <v>7.3</v>
      </c>
      <c r="T9" s="15" t="inlineStr">
        <is>
          <t>—</t>
        </is>
      </c>
      <c r="U9" s="15" t="n">
        <v>7.8</v>
      </c>
      <c r="V9" s="15" t="n">
        <v>5.5</v>
      </c>
      <c r="W9" s="15" t="inlineStr">
        <is>
          <t>—</t>
        </is>
      </c>
      <c r="X9" s="15" t="inlineStr">
        <is>
          <t>—</t>
        </is>
      </c>
      <c r="Y9" s="15" t="inlineStr">
        <is>
          <t>—</t>
        </is>
      </c>
      <c r="Z9" s="17">
        <f>ROUND(AVERAGE(P9:Y9),2)</f>
        <v>6.42</v>
      </c>
    </row>
    <row r="10" ht="30" customHeight="1">
      <c r="A10" s="15" t="n">
        <v>9</v>
      </c>
      <c r="B10" s="15" t="inlineStr">
        <is>
          <t>HS12-009</t>
        </is>
      </c>
      <c r="C10" s="15" t="n">
        <v>12</v>
      </c>
      <c r="D10" s="16" t="inlineStr">
        <is>
          <t>Vật lý; Hóa học; Tin học; Giáo dục kinh tế và pháp luật</t>
        </is>
      </c>
      <c r="E10" s="15" t="n">
        <v>8.300000000000001</v>
      </c>
      <c r="F10" s="15" t="n">
        <v>5.6</v>
      </c>
      <c r="G10" s="15" t="n">
        <v>8.300000000000001</v>
      </c>
      <c r="H10" s="15" t="n">
        <v>6.4</v>
      </c>
      <c r="I10" s="15" t="inlineStr">
        <is>
          <t>—</t>
        </is>
      </c>
      <c r="J10" s="15" t="inlineStr">
        <is>
          <t>—</t>
        </is>
      </c>
      <c r="K10" s="15" t="inlineStr">
        <is>
          <t>—</t>
        </is>
      </c>
      <c r="L10" s="15" t="n">
        <v>4.6</v>
      </c>
      <c r="M10" s="15" t="n">
        <v>7.8</v>
      </c>
      <c r="N10" s="15" t="inlineStr">
        <is>
          <t>—</t>
        </is>
      </c>
      <c r="O10" s="17">
        <f>ROUND(AVERAGE(E10:N10),2)</f>
        <v>6.83</v>
      </c>
      <c r="P10" s="15" t="n">
        <v>6.9</v>
      </c>
      <c r="Q10" s="15" t="n">
        <v>6.1</v>
      </c>
      <c r="R10" s="15" t="n">
        <v>6.7</v>
      </c>
      <c r="S10" s="15" t="n">
        <v>7.2</v>
      </c>
      <c r="T10" s="15" t="inlineStr">
        <is>
          <t>—</t>
        </is>
      </c>
      <c r="U10" s="15" t="inlineStr">
        <is>
          <t>—</t>
        </is>
      </c>
      <c r="V10" s="15" t="inlineStr">
        <is>
          <t>—</t>
        </is>
      </c>
      <c r="W10" s="15" t="n">
        <v>9</v>
      </c>
      <c r="X10" s="15" t="n">
        <v>7.8</v>
      </c>
      <c r="Y10" s="15" t="inlineStr">
        <is>
          <t>—</t>
        </is>
      </c>
      <c r="Z10" s="17">
        <f>ROUND(AVERAGE(P10:Y10),2)</f>
        <v>7.28</v>
      </c>
    </row>
    <row r="11" ht="30" customHeight="1">
      <c r="A11" s="15" t="n">
        <v>10</v>
      </c>
      <c r="B11" s="15" t="inlineStr">
        <is>
          <t>HS12-010</t>
        </is>
      </c>
      <c r="C11" s="15" t="n">
        <v>12</v>
      </c>
      <c r="D11" s="16" t="inlineStr">
        <is>
          <t>Vật lý; Hóa học; Tin học; Giáo dục kinh tế và pháp luật</t>
        </is>
      </c>
      <c r="E11" s="15" t="n">
        <v>6</v>
      </c>
      <c r="F11" s="15" t="n">
        <v>7.3</v>
      </c>
      <c r="G11" s="15" t="n">
        <v>6.6</v>
      </c>
      <c r="H11" s="15" t="n">
        <v>7.1</v>
      </c>
      <c r="I11" s="15" t="n">
        <v>6.9</v>
      </c>
      <c r="J11" s="15" t="n">
        <v>4.7</v>
      </c>
      <c r="K11" s="15" t="inlineStr">
        <is>
          <t>—</t>
        </is>
      </c>
      <c r="L11" s="15" t="inlineStr">
        <is>
          <t>—</t>
        </is>
      </c>
      <c r="M11" s="15" t="inlineStr">
        <is>
          <t>—</t>
        </is>
      </c>
      <c r="N11" s="15" t="inlineStr">
        <is>
          <t>—</t>
        </is>
      </c>
      <c r="O11" s="17">
        <f>ROUND(AVERAGE(E11:N11),2)</f>
        <v>6.43</v>
      </c>
      <c r="P11" s="15" t="n">
        <v>6.8</v>
      </c>
      <c r="Q11" s="15" t="n">
        <v>7.9</v>
      </c>
      <c r="R11" s="15" t="n">
        <v>6.1</v>
      </c>
      <c r="S11" s="15" t="n">
        <v>6.7</v>
      </c>
      <c r="T11" s="15" t="n">
        <v>5.1</v>
      </c>
      <c r="U11" s="15" t="n">
        <v>6.3</v>
      </c>
      <c r="V11" s="15" t="inlineStr">
        <is>
          <t>—</t>
        </is>
      </c>
      <c r="W11" s="15" t="inlineStr">
        <is>
          <t>—</t>
        </is>
      </c>
      <c r="X11" s="15" t="inlineStr">
        <is>
          <t>—</t>
        </is>
      </c>
      <c r="Y11" s="15" t="inlineStr">
        <is>
          <t>—</t>
        </is>
      </c>
      <c r="Z11" s="17">
        <f>ROUND(AVERAGE(P11:Y11),2)</f>
        <v>6.48</v>
      </c>
    </row>
    <row r="12" ht="30" customHeight="1">
      <c r="A12" s="15" t="n">
        <v>11</v>
      </c>
      <c r="B12" s="15" t="inlineStr">
        <is>
          <t>HS12-011</t>
        </is>
      </c>
      <c r="C12" s="15" t="n">
        <v>12</v>
      </c>
      <c r="D12" s="16" t="inlineStr">
        <is>
          <t>Vật lý; Hóa học; Tin học; Giáo dục kinh tế và pháp luật</t>
        </is>
      </c>
      <c r="E12" s="15" t="n">
        <v>6</v>
      </c>
      <c r="F12" s="15" t="n">
        <v>8.199999999999999</v>
      </c>
      <c r="G12" s="15" t="n">
        <v>6.7</v>
      </c>
      <c r="H12" s="15" t="n">
        <v>8.1</v>
      </c>
      <c r="I12" s="15" t="n">
        <v>8</v>
      </c>
      <c r="J12" s="15" t="n">
        <v>6.2</v>
      </c>
      <c r="K12" s="15" t="inlineStr">
        <is>
          <t>—</t>
        </is>
      </c>
      <c r="L12" s="15" t="inlineStr">
        <is>
          <t>—</t>
        </is>
      </c>
      <c r="M12" s="15" t="inlineStr">
        <is>
          <t>—</t>
        </is>
      </c>
      <c r="N12" s="15" t="inlineStr">
        <is>
          <t>—</t>
        </is>
      </c>
      <c r="O12" s="17">
        <f>ROUND(AVERAGE(E12:N12),2)</f>
        <v>7.2</v>
      </c>
      <c r="P12" s="15" t="n">
        <v>9.4</v>
      </c>
      <c r="Q12" s="15" t="n">
        <v>7.2</v>
      </c>
      <c r="R12" s="15" t="n">
        <v>8.300000000000001</v>
      </c>
      <c r="S12" s="15" t="n">
        <v>8.4</v>
      </c>
      <c r="T12" s="15" t="n">
        <v>6.4</v>
      </c>
      <c r="U12" s="15" t="n">
        <v>8.6</v>
      </c>
      <c r="V12" s="15" t="inlineStr">
        <is>
          <t>—</t>
        </is>
      </c>
      <c r="W12" s="15" t="inlineStr">
        <is>
          <t>—</t>
        </is>
      </c>
      <c r="X12" s="15" t="inlineStr">
        <is>
          <t>—</t>
        </is>
      </c>
      <c r="Y12" s="15" t="inlineStr">
        <is>
          <t>—</t>
        </is>
      </c>
      <c r="Z12" s="17">
        <f>ROUND(AVERAGE(P12:Y12),2)</f>
        <v>8.0500000000000007</v>
      </c>
    </row>
    <row r="13" ht="30" customHeight="1">
      <c r="A13" s="15" t="n">
        <v>12</v>
      </c>
      <c r="B13" s="15" t="inlineStr">
        <is>
          <t>HS12-012</t>
        </is>
      </c>
      <c r="C13" s="15" t="n">
        <v>12</v>
      </c>
      <c r="D13" s="16" t="inlineStr">
        <is>
          <t>Vật lý; Hóa học; Tin học; Giáo dục kinh tế và pháp luật</t>
        </is>
      </c>
      <c r="E13" s="15" t="n">
        <v>8.800000000000001</v>
      </c>
      <c r="F13" s="15" t="n">
        <v>6</v>
      </c>
      <c r="G13" s="15" t="n">
        <v>7.3</v>
      </c>
      <c r="H13" s="15" t="n">
        <v>8.4</v>
      </c>
      <c r="I13" s="15" t="inlineStr">
        <is>
          <t>—</t>
        </is>
      </c>
      <c r="J13" s="15" t="inlineStr">
        <is>
          <t>—</t>
        </is>
      </c>
      <c r="K13" s="15" t="inlineStr">
        <is>
          <t>—</t>
        </is>
      </c>
      <c r="L13" s="15" t="n">
        <v>7.5</v>
      </c>
      <c r="M13" s="15" t="n">
        <v>7.8</v>
      </c>
      <c r="N13" s="15" t="inlineStr">
        <is>
          <t>—</t>
        </is>
      </c>
      <c r="O13" s="17">
        <f>ROUND(AVERAGE(E13:N13),2)</f>
        <v>7.63</v>
      </c>
      <c r="P13" s="15" t="n">
        <v>7.2</v>
      </c>
      <c r="Q13" s="15" t="n">
        <v>7</v>
      </c>
      <c r="R13" s="15" t="n">
        <v>7.6</v>
      </c>
      <c r="S13" s="15" t="n">
        <v>6.8</v>
      </c>
      <c r="T13" s="15" t="inlineStr">
        <is>
          <t>—</t>
        </is>
      </c>
      <c r="U13" s="15" t="inlineStr">
        <is>
          <t>—</t>
        </is>
      </c>
      <c r="V13" s="15" t="inlineStr">
        <is>
          <t>—</t>
        </is>
      </c>
      <c r="W13" s="15" t="n">
        <v>4.9</v>
      </c>
      <c r="X13" s="15" t="n">
        <v>8.1</v>
      </c>
      <c r="Y13" s="15" t="inlineStr">
        <is>
          <t>—</t>
        </is>
      </c>
      <c r="Z13" s="17">
        <f>ROUND(AVERAGE(P13:Y13),2)</f>
        <v>6.93</v>
      </c>
    </row>
    <row r="14" ht="30" customHeight="1">
      <c r="A14" s="15" t="n">
        <v>13</v>
      </c>
      <c r="B14" s="15" t="inlineStr">
        <is>
          <t>HS11-001</t>
        </is>
      </c>
      <c r="C14" s="15" t="n">
        <v>11</v>
      </c>
      <c r="D14" s="16" t="inlineStr">
        <is>
          <t>Địa lý; Tin học; Hóa học; Sinh học</t>
        </is>
      </c>
      <c r="E14" s="15" t="n">
        <v>6.6</v>
      </c>
      <c r="F14" s="15" t="n">
        <v>8.1</v>
      </c>
      <c r="G14" s="15" t="n">
        <v>6.4</v>
      </c>
      <c r="H14" s="15" t="n">
        <v>5.4</v>
      </c>
      <c r="I14" s="15" t="inlineStr">
        <is>
          <t>—</t>
        </is>
      </c>
      <c r="J14" s="15" t="inlineStr">
        <is>
          <t>—</t>
        </is>
      </c>
      <c r="K14" s="15" t="inlineStr">
        <is>
          <t>—</t>
        </is>
      </c>
      <c r="L14" s="15" t="n">
        <v>7.6</v>
      </c>
      <c r="M14" s="15" t="n">
        <v>8.300000000000001</v>
      </c>
      <c r="N14" s="15" t="inlineStr">
        <is>
          <t>—</t>
        </is>
      </c>
      <c r="O14" s="17">
        <f>ROUND(AVERAGE(E14:N14),2)</f>
        <v>7.07</v>
      </c>
      <c r="P14" s="15" t="n">
        <v>6.8</v>
      </c>
      <c r="Q14" s="15" t="n">
        <v>7.6</v>
      </c>
      <c r="R14" s="15" t="n">
        <v>7.7</v>
      </c>
      <c r="S14" s="15" t="n">
        <v>6</v>
      </c>
      <c r="T14" s="15" t="inlineStr">
        <is>
          <t>—</t>
        </is>
      </c>
      <c r="U14" s="15" t="inlineStr">
        <is>
          <t>—</t>
        </is>
      </c>
      <c r="V14" s="15" t="inlineStr">
        <is>
          <t>—</t>
        </is>
      </c>
      <c r="W14" s="15" t="n">
        <v>9.6</v>
      </c>
      <c r="X14" s="15" t="n">
        <v>8.9</v>
      </c>
      <c r="Y14" s="15" t="inlineStr">
        <is>
          <t>—</t>
        </is>
      </c>
      <c r="Z14" s="17">
        <f>ROUND(AVERAGE(P14:Y14),2)</f>
        <v>7.77</v>
      </c>
    </row>
    <row r="15" ht="30" customHeight="1">
      <c r="A15" s="15" t="n">
        <v>14</v>
      </c>
      <c r="B15" s="15" t="inlineStr">
        <is>
          <t>HS11-002</t>
        </is>
      </c>
      <c r="C15" s="15" t="n">
        <v>11</v>
      </c>
      <c r="D15" s="16" t="inlineStr">
        <is>
          <t>Địa lý; Tin học; Hóa học; Sinh học</t>
        </is>
      </c>
      <c r="E15" s="15" t="n">
        <v>6.4</v>
      </c>
      <c r="F15" s="15" t="n">
        <v>7.7</v>
      </c>
      <c r="G15" s="15" t="n">
        <v>5.6</v>
      </c>
      <c r="H15" s="15" t="n">
        <v>9.1</v>
      </c>
      <c r="I15" s="15" t="inlineStr">
        <is>
          <t>—</t>
        </is>
      </c>
      <c r="J15" s="15" t="inlineStr">
        <is>
          <t>—</t>
        </is>
      </c>
      <c r="K15" s="15" t="inlineStr">
        <is>
          <t>—</t>
        </is>
      </c>
      <c r="L15" s="15" t="n">
        <v>9.5</v>
      </c>
      <c r="M15" s="15" t="n">
        <v>5.6</v>
      </c>
      <c r="N15" s="15" t="inlineStr">
        <is>
          <t>—</t>
        </is>
      </c>
      <c r="O15" s="17">
        <f>ROUND(AVERAGE(E15:N15),2)</f>
        <v>7.32</v>
      </c>
      <c r="P15" s="15" t="n">
        <v>5.9</v>
      </c>
      <c r="Q15" s="15" t="n">
        <v>8.5</v>
      </c>
      <c r="R15" s="15" t="n">
        <v>8.5</v>
      </c>
      <c r="S15" s="15" t="n">
        <v>9.5</v>
      </c>
      <c r="T15" s="15" t="inlineStr">
        <is>
          <t>—</t>
        </is>
      </c>
      <c r="U15" s="15" t="inlineStr">
        <is>
          <t>—</t>
        </is>
      </c>
      <c r="V15" s="15" t="inlineStr">
        <is>
          <t>—</t>
        </is>
      </c>
      <c r="W15" s="15" t="n">
        <v>9.300000000000001</v>
      </c>
      <c r="X15" s="15" t="n">
        <v>7.9</v>
      </c>
      <c r="Y15" s="15" t="inlineStr">
        <is>
          <t>—</t>
        </is>
      </c>
      <c r="Z15" s="17">
        <f>ROUND(AVERAGE(P15:Y15),2)</f>
        <v>8.27</v>
      </c>
    </row>
    <row r="16" ht="30" customHeight="1">
      <c r="A16" s="15" t="n">
        <v>15</v>
      </c>
      <c r="B16" s="15" t="inlineStr">
        <is>
          <t>HS11-003</t>
        </is>
      </c>
      <c r="C16" s="15" t="n">
        <v>11</v>
      </c>
      <c r="D16" s="16" t="inlineStr">
        <is>
          <t>Địa lý; Tin học; Hóa học; Sinh học</t>
        </is>
      </c>
      <c r="E16" s="15" t="n">
        <v>9.800000000000001</v>
      </c>
      <c r="F16" s="15" t="n">
        <v>6.2</v>
      </c>
      <c r="G16" s="15" t="n">
        <v>9.5</v>
      </c>
      <c r="H16" s="15" t="n">
        <v>7.1</v>
      </c>
      <c r="I16" s="15" t="inlineStr">
        <is>
          <t>—</t>
        </is>
      </c>
      <c r="J16" s="15" t="n">
        <v>7.5</v>
      </c>
      <c r="K16" s="15" t="n">
        <v>6.4</v>
      </c>
      <c r="L16" s="15" t="inlineStr">
        <is>
          <t>—</t>
        </is>
      </c>
      <c r="M16" s="15" t="inlineStr">
        <is>
          <t>—</t>
        </is>
      </c>
      <c r="N16" s="15" t="inlineStr">
        <is>
          <t>—</t>
        </is>
      </c>
      <c r="O16" s="17">
        <f>ROUND(AVERAGE(E16:N16),2)</f>
        <v>7.75</v>
      </c>
      <c r="P16" s="15" t="n">
        <v>6.6</v>
      </c>
      <c r="Q16" s="15" t="n">
        <v>5.9</v>
      </c>
      <c r="R16" s="15" t="n">
        <v>6.3</v>
      </c>
      <c r="S16" s="15" t="n">
        <v>8.9</v>
      </c>
      <c r="T16" s="15" t="inlineStr">
        <is>
          <t>—</t>
        </is>
      </c>
      <c r="U16" s="15" t="n">
        <v>4.7</v>
      </c>
      <c r="V16" s="15" t="n">
        <v>5.2</v>
      </c>
      <c r="W16" s="15" t="inlineStr">
        <is>
          <t>—</t>
        </is>
      </c>
      <c r="X16" s="15" t="inlineStr">
        <is>
          <t>—</t>
        </is>
      </c>
      <c r="Y16" s="15" t="inlineStr">
        <is>
          <t>—</t>
        </is>
      </c>
      <c r="Z16" s="17">
        <f>ROUND(AVERAGE(P16:Y16),2)</f>
        <v>6.27</v>
      </c>
    </row>
    <row r="17" ht="30" customHeight="1">
      <c r="A17" s="15" t="n">
        <v>16</v>
      </c>
      <c r="B17" s="15" t="inlineStr">
        <is>
          <t>HS11-004</t>
        </is>
      </c>
      <c r="C17" s="15" t="n">
        <v>11</v>
      </c>
      <c r="D17" s="16" t="inlineStr">
        <is>
          <t>Địa lý; Tin học; Hóa học; Sinh học</t>
        </is>
      </c>
      <c r="E17" s="15" t="n">
        <v>7.5</v>
      </c>
      <c r="F17" s="15" t="n">
        <v>6.8</v>
      </c>
      <c r="G17" s="15" t="n">
        <v>6.6</v>
      </c>
      <c r="H17" s="15" t="n">
        <v>6.8</v>
      </c>
      <c r="I17" s="15" t="n">
        <v>7.6</v>
      </c>
      <c r="J17" s="15" t="n">
        <v>6.1</v>
      </c>
      <c r="K17" s="15" t="inlineStr">
        <is>
          <t>—</t>
        </is>
      </c>
      <c r="L17" s="15" t="inlineStr">
        <is>
          <t>—</t>
        </is>
      </c>
      <c r="M17" s="15" t="inlineStr">
        <is>
          <t>—</t>
        </is>
      </c>
      <c r="N17" s="15" t="inlineStr">
        <is>
          <t>—</t>
        </is>
      </c>
      <c r="O17" s="17">
        <f>ROUND(AVERAGE(E17:N17),2)</f>
        <v>6.9</v>
      </c>
      <c r="P17" s="15" t="n">
        <v>6.7</v>
      </c>
      <c r="Q17" s="15" t="n">
        <v>6.6</v>
      </c>
      <c r="R17" s="15" t="n">
        <v>5.5</v>
      </c>
      <c r="S17" s="15" t="n">
        <v>7.5</v>
      </c>
      <c r="T17" s="15" t="n">
        <v>9</v>
      </c>
      <c r="U17" s="15" t="n">
        <v>9.800000000000001</v>
      </c>
      <c r="V17" s="15" t="inlineStr">
        <is>
          <t>—</t>
        </is>
      </c>
      <c r="W17" s="15" t="inlineStr">
        <is>
          <t>—</t>
        </is>
      </c>
      <c r="X17" s="15" t="inlineStr">
        <is>
          <t>—</t>
        </is>
      </c>
      <c r="Y17" s="15" t="inlineStr">
        <is>
          <t>—</t>
        </is>
      </c>
      <c r="Z17" s="17">
        <f>ROUND(AVERAGE(P17:Y17),2)</f>
        <v>7.52</v>
      </c>
    </row>
    <row r="18" ht="30" customHeight="1">
      <c r="A18" s="15" t="n">
        <v>17</v>
      </c>
      <c r="B18" s="15" t="inlineStr">
        <is>
          <t>HS11-005</t>
        </is>
      </c>
      <c r="C18" s="15" t="n">
        <v>11</v>
      </c>
      <c r="D18" s="16" t="inlineStr">
        <is>
          <t>Địa lý; Tin học; Hóa học; Sinh học</t>
        </is>
      </c>
      <c r="E18" s="15" t="n">
        <v>7.4</v>
      </c>
      <c r="F18" s="15" t="n">
        <v>5.7</v>
      </c>
      <c r="G18" s="15" t="n">
        <v>7.2</v>
      </c>
      <c r="H18" s="15" t="n">
        <v>5.7</v>
      </c>
      <c r="I18" s="15" t="inlineStr">
        <is>
          <t>—</t>
        </is>
      </c>
      <c r="J18" s="15" t="n">
        <v>8.199999999999999</v>
      </c>
      <c r="K18" s="15" t="n">
        <v>5.9</v>
      </c>
      <c r="L18" s="15" t="inlineStr">
        <is>
          <t>—</t>
        </is>
      </c>
      <c r="M18" s="15" t="inlineStr">
        <is>
          <t>—</t>
        </is>
      </c>
      <c r="N18" s="15" t="inlineStr">
        <is>
          <t>—</t>
        </is>
      </c>
      <c r="O18" s="17">
        <f>ROUND(AVERAGE(E18:N18),2)</f>
        <v>6.68</v>
      </c>
      <c r="P18" s="15" t="n">
        <v>6.9</v>
      </c>
      <c r="Q18" s="15" t="n">
        <v>6.4</v>
      </c>
      <c r="R18" s="15" t="n">
        <v>7.2</v>
      </c>
      <c r="S18" s="15" t="n">
        <v>7.1</v>
      </c>
      <c r="T18" s="15" t="inlineStr">
        <is>
          <t>—</t>
        </is>
      </c>
      <c r="U18" s="15" t="n">
        <v>8.5</v>
      </c>
      <c r="V18" s="15" t="n">
        <v>7</v>
      </c>
      <c r="W18" s="15" t="inlineStr">
        <is>
          <t>—</t>
        </is>
      </c>
      <c r="X18" s="15" t="inlineStr">
        <is>
          <t>—</t>
        </is>
      </c>
      <c r="Y18" s="15" t="inlineStr">
        <is>
          <t>—</t>
        </is>
      </c>
      <c r="Z18" s="17">
        <f>ROUND(AVERAGE(P18:Y18),2)</f>
        <v>7.18</v>
      </c>
    </row>
    <row r="19" ht="30" customHeight="1">
      <c r="A19" s="15" t="n">
        <v>18</v>
      </c>
      <c r="B19" s="15" t="inlineStr">
        <is>
          <t>HS11-006</t>
        </is>
      </c>
      <c r="C19" s="15" t="n">
        <v>11</v>
      </c>
      <c r="D19" s="16" t="inlineStr">
        <is>
          <t>Địa lý; Tin học; Hóa học; Sinh học</t>
        </is>
      </c>
      <c r="E19" s="15" t="n">
        <v>6.4</v>
      </c>
      <c r="F19" s="15" t="n">
        <v>8.1</v>
      </c>
      <c r="G19" s="15" t="n">
        <v>6.7</v>
      </c>
      <c r="H19" s="15" t="n">
        <v>8.1</v>
      </c>
      <c r="I19" s="15" t="n">
        <v>7.2</v>
      </c>
      <c r="J19" s="15" t="n">
        <v>9</v>
      </c>
      <c r="K19" s="15" t="inlineStr">
        <is>
          <t>—</t>
        </is>
      </c>
      <c r="L19" s="15" t="inlineStr">
        <is>
          <t>—</t>
        </is>
      </c>
      <c r="M19" s="15" t="inlineStr">
        <is>
          <t>—</t>
        </is>
      </c>
      <c r="N19" s="15" t="inlineStr">
        <is>
          <t>—</t>
        </is>
      </c>
      <c r="O19" s="17">
        <f>ROUND(AVERAGE(E19:N19),2)</f>
        <v>7.58</v>
      </c>
      <c r="P19" s="15" t="n">
        <v>8.199999999999999</v>
      </c>
      <c r="Q19" s="15" t="n">
        <v>7.6</v>
      </c>
      <c r="R19" s="15" t="n">
        <v>5.7</v>
      </c>
      <c r="S19" s="15" t="n">
        <v>5.3</v>
      </c>
      <c r="T19" s="15" t="n">
        <v>9.800000000000001</v>
      </c>
      <c r="U19" s="15" t="n">
        <v>9.800000000000001</v>
      </c>
      <c r="V19" s="15" t="inlineStr">
        <is>
          <t>—</t>
        </is>
      </c>
      <c r="W19" s="15" t="inlineStr">
        <is>
          <t>—</t>
        </is>
      </c>
      <c r="X19" s="15" t="inlineStr">
        <is>
          <t>—</t>
        </is>
      </c>
      <c r="Y19" s="15" t="inlineStr">
        <is>
          <t>—</t>
        </is>
      </c>
      <c r="Z19" s="17">
        <f>ROUND(AVERAGE(P19:Y19),2)</f>
        <v>7.73</v>
      </c>
    </row>
    <row r="20" ht="30" customHeight="1">
      <c r="A20" s="15" t="n">
        <v>19</v>
      </c>
      <c r="B20" s="15" t="inlineStr">
        <is>
          <t>HS11-007</t>
        </is>
      </c>
      <c r="C20" s="15" t="n">
        <v>11</v>
      </c>
      <c r="D20" s="16" t="inlineStr">
        <is>
          <t>Địa lý; Tin học; Hóa học; Sinh học</t>
        </is>
      </c>
      <c r="E20" s="15" t="n">
        <v>7.9</v>
      </c>
      <c r="F20" s="15" t="n">
        <v>8.1</v>
      </c>
      <c r="G20" s="15" t="n">
        <v>7.5</v>
      </c>
      <c r="H20" s="15" t="n">
        <v>7</v>
      </c>
      <c r="I20" s="15" t="inlineStr">
        <is>
          <t>—</t>
        </is>
      </c>
      <c r="J20" s="15" t="n">
        <v>5.9</v>
      </c>
      <c r="K20" s="15" t="n">
        <v>6</v>
      </c>
      <c r="L20" s="15" t="inlineStr">
        <is>
          <t>—</t>
        </is>
      </c>
      <c r="M20" s="15" t="inlineStr">
        <is>
          <t>—</t>
        </is>
      </c>
      <c r="N20" s="15" t="inlineStr">
        <is>
          <t>—</t>
        </is>
      </c>
      <c r="O20" s="17">
        <f>ROUND(AVERAGE(E20:N20),2)</f>
        <v>7.07</v>
      </c>
      <c r="P20" s="15" t="n">
        <v>7.8</v>
      </c>
      <c r="Q20" s="15" t="n">
        <v>8.9</v>
      </c>
      <c r="R20" s="15" t="n">
        <v>7</v>
      </c>
      <c r="S20" s="15" t="n">
        <v>5.7</v>
      </c>
      <c r="T20" s="15" t="inlineStr">
        <is>
          <t>—</t>
        </is>
      </c>
      <c r="U20" s="15" t="n">
        <v>8.199999999999999</v>
      </c>
      <c r="V20" s="15" t="n">
        <v>5.7</v>
      </c>
      <c r="W20" s="15" t="inlineStr">
        <is>
          <t>—</t>
        </is>
      </c>
      <c r="X20" s="15" t="inlineStr">
        <is>
          <t>—</t>
        </is>
      </c>
      <c r="Y20" s="15" t="inlineStr">
        <is>
          <t>—</t>
        </is>
      </c>
      <c r="Z20" s="17">
        <f>ROUND(AVERAGE(P20:Y20),2)</f>
        <v>7.22</v>
      </c>
    </row>
    <row r="21" ht="30" customHeight="1">
      <c r="A21" s="15" t="n">
        <v>20</v>
      </c>
      <c r="B21" s="15" t="inlineStr">
        <is>
          <t>HS11-008</t>
        </is>
      </c>
      <c r="C21" s="15" t="n">
        <v>11</v>
      </c>
      <c r="D21" s="16" t="inlineStr">
        <is>
          <t>Địa lý; Tin học; Hóa học; Sinh học</t>
        </is>
      </c>
      <c r="E21" s="15" t="n">
        <v>6.9</v>
      </c>
      <c r="F21" s="15" t="n">
        <v>6.9</v>
      </c>
      <c r="G21" s="15" t="n">
        <v>6.7</v>
      </c>
      <c r="H21" s="15" t="n">
        <v>9.1</v>
      </c>
      <c r="I21" s="15" t="inlineStr">
        <is>
          <t>—</t>
        </is>
      </c>
      <c r="J21" s="15" t="n">
        <v>6.8</v>
      </c>
      <c r="K21" s="15" t="n">
        <v>5.6</v>
      </c>
      <c r="L21" s="15" t="inlineStr">
        <is>
          <t>—</t>
        </is>
      </c>
      <c r="M21" s="15" t="inlineStr">
        <is>
          <t>—</t>
        </is>
      </c>
      <c r="N21" s="15" t="inlineStr">
        <is>
          <t>—</t>
        </is>
      </c>
      <c r="O21" s="17">
        <f>ROUND(AVERAGE(E21:N21),2)</f>
        <v>7</v>
      </c>
      <c r="P21" s="15" t="n">
        <v>7.5</v>
      </c>
      <c r="Q21" s="15" t="n">
        <v>8</v>
      </c>
      <c r="R21" s="15" t="n">
        <v>4.6</v>
      </c>
      <c r="S21" s="15" t="n">
        <v>6.7</v>
      </c>
      <c r="T21" s="15" t="inlineStr">
        <is>
          <t>—</t>
        </is>
      </c>
      <c r="U21" s="15" t="n">
        <v>7.3</v>
      </c>
      <c r="V21" s="15" t="n">
        <v>8</v>
      </c>
      <c r="W21" s="15" t="inlineStr">
        <is>
          <t>—</t>
        </is>
      </c>
      <c r="X21" s="15" t="inlineStr">
        <is>
          <t>—</t>
        </is>
      </c>
      <c r="Y21" s="15" t="inlineStr">
        <is>
          <t>—</t>
        </is>
      </c>
      <c r="Z21" s="17">
        <f>ROUND(AVERAGE(P21:Y21),2)</f>
        <v>7.02</v>
      </c>
    </row>
    <row r="22" ht="30" customHeight="1">
      <c r="A22" s="15" t="n">
        <v>21</v>
      </c>
      <c r="B22" s="15" t="inlineStr">
        <is>
          <t>HS11-009</t>
        </is>
      </c>
      <c r="C22" s="15" t="n">
        <v>11</v>
      </c>
      <c r="D22" s="16" t="inlineStr">
        <is>
          <t>Địa lý; Tin học; Hóa học; Sinh học</t>
        </is>
      </c>
      <c r="E22" s="15" t="n">
        <v>6.9</v>
      </c>
      <c r="F22" s="15" t="n">
        <v>9.1</v>
      </c>
      <c r="G22" s="15" t="n">
        <v>8.1</v>
      </c>
      <c r="H22" s="15" t="n">
        <v>8.4</v>
      </c>
      <c r="I22" s="15" t="inlineStr">
        <is>
          <t>—</t>
        </is>
      </c>
      <c r="J22" s="15" t="inlineStr">
        <is>
          <t>—</t>
        </is>
      </c>
      <c r="K22" s="15" t="inlineStr">
        <is>
          <t>—</t>
        </is>
      </c>
      <c r="L22" s="15" t="n">
        <v>7.3</v>
      </c>
      <c r="M22" s="15" t="n">
        <v>5.5</v>
      </c>
      <c r="N22" s="15" t="inlineStr">
        <is>
          <t>—</t>
        </is>
      </c>
      <c r="O22" s="17">
        <f>ROUND(AVERAGE(E22:N22),2)</f>
        <v>7.55</v>
      </c>
      <c r="P22" s="15" t="n">
        <v>6.5</v>
      </c>
      <c r="Q22" s="15" t="n">
        <v>7.1</v>
      </c>
      <c r="R22" s="15" t="n">
        <v>9.5</v>
      </c>
      <c r="S22" s="15" t="n">
        <v>7.2</v>
      </c>
      <c r="T22" s="15" t="inlineStr">
        <is>
          <t>—</t>
        </is>
      </c>
      <c r="U22" s="15" t="inlineStr">
        <is>
          <t>—</t>
        </is>
      </c>
      <c r="V22" s="15" t="inlineStr">
        <is>
          <t>—</t>
        </is>
      </c>
      <c r="W22" s="15" t="n">
        <v>8.300000000000001</v>
      </c>
      <c r="X22" s="15" t="n">
        <v>7.9</v>
      </c>
      <c r="Y22" s="15" t="inlineStr">
        <is>
          <t>—</t>
        </is>
      </c>
      <c r="Z22" s="17">
        <f>ROUND(AVERAGE(P22:Y22),2)</f>
        <v>7.75</v>
      </c>
    </row>
    <row r="23" ht="30" customHeight="1">
      <c r="A23" s="15" t="n">
        <v>22</v>
      </c>
      <c r="B23" s="15" t="inlineStr">
        <is>
          <t>HS11-010</t>
        </is>
      </c>
      <c r="C23" s="15" t="n">
        <v>11</v>
      </c>
      <c r="D23" s="16" t="inlineStr">
        <is>
          <t>Địa lý; Tin học; Hóa học; Sinh học</t>
        </is>
      </c>
      <c r="E23" s="15" t="n">
        <v>9.5</v>
      </c>
      <c r="F23" s="15" t="n">
        <v>8.4</v>
      </c>
      <c r="G23" s="15" t="n">
        <v>9.5</v>
      </c>
      <c r="H23" s="15" t="n">
        <v>5.2</v>
      </c>
      <c r="I23" s="15" t="inlineStr">
        <is>
          <t>—</t>
        </is>
      </c>
      <c r="J23" s="15" t="n">
        <v>8</v>
      </c>
      <c r="K23" s="15" t="n">
        <v>8.1</v>
      </c>
      <c r="L23" s="15" t="inlineStr">
        <is>
          <t>—</t>
        </is>
      </c>
      <c r="M23" s="15" t="inlineStr">
        <is>
          <t>—</t>
        </is>
      </c>
      <c r="N23" s="15" t="inlineStr">
        <is>
          <t>—</t>
        </is>
      </c>
      <c r="O23" s="17">
        <f>ROUND(AVERAGE(E23:N23),2)</f>
        <v>8.1199999999999992</v>
      </c>
      <c r="P23" s="15" t="n">
        <v>8.5</v>
      </c>
      <c r="Q23" s="15" t="n">
        <v>9.1</v>
      </c>
      <c r="R23" s="15" t="n">
        <v>9.6</v>
      </c>
      <c r="S23" s="15" t="n">
        <v>5.5</v>
      </c>
      <c r="T23" s="15" t="inlineStr">
        <is>
          <t>—</t>
        </is>
      </c>
      <c r="U23" s="15" t="n">
        <v>7.6</v>
      </c>
      <c r="V23" s="15" t="n">
        <v>7.4</v>
      </c>
      <c r="W23" s="15" t="inlineStr">
        <is>
          <t>—</t>
        </is>
      </c>
      <c r="X23" s="15" t="inlineStr">
        <is>
          <t>—</t>
        </is>
      </c>
      <c r="Y23" s="15" t="inlineStr">
        <is>
          <t>—</t>
        </is>
      </c>
      <c r="Z23" s="17">
        <f>ROUND(AVERAGE(P23:Y23),2)</f>
        <v>7.95</v>
      </c>
    </row>
    <row r="24" ht="30" customHeight="1">
      <c r="A24" s="15" t="n">
        <v>23</v>
      </c>
      <c r="B24" s="15" t="inlineStr">
        <is>
          <t>HS10-001</t>
        </is>
      </c>
      <c r="C24" s="15" t="n">
        <v>10</v>
      </c>
      <c r="D24" s="16" t="inlineStr">
        <is>
          <t>Sinh học; Giáo dục kinh tế và pháp luật; Địa lý; Vật lý</t>
        </is>
      </c>
      <c r="E24" s="15" t="n">
        <v>5.1</v>
      </c>
      <c r="F24" s="15" t="n">
        <v>6.5</v>
      </c>
      <c r="G24" s="15" t="n">
        <v>7.4</v>
      </c>
      <c r="H24" s="15" t="n">
        <v>6.9</v>
      </c>
      <c r="I24" s="15" t="inlineStr">
        <is>
          <t>—</t>
        </is>
      </c>
      <c r="J24" s="15" t="n">
        <v>6</v>
      </c>
      <c r="K24" s="15" t="n">
        <v>6.6</v>
      </c>
      <c r="L24" s="15" t="inlineStr">
        <is>
          <t>—</t>
        </is>
      </c>
      <c r="M24" s="15" t="inlineStr">
        <is>
          <t>—</t>
        </is>
      </c>
      <c r="N24" s="15" t="inlineStr">
        <is>
          <t>—</t>
        </is>
      </c>
      <c r="O24" s="17">
        <f>ROUND(AVERAGE(E24:N24),2)</f>
        <v>6.42</v>
      </c>
      <c r="P24" s="15" t="inlineStr">
        <is>
          <t>—</t>
        </is>
      </c>
      <c r="Q24" s="15" t="inlineStr">
        <is>
          <t>—</t>
        </is>
      </c>
      <c r="R24" s="15" t="inlineStr">
        <is>
          <t>—</t>
        </is>
      </c>
      <c r="S24" s="15" t="inlineStr">
        <is>
          <t>—</t>
        </is>
      </c>
      <c r="T24" s="15" t="inlineStr">
        <is>
          <t>—</t>
        </is>
      </c>
      <c r="U24" s="15" t="inlineStr">
        <is>
          <t>—</t>
        </is>
      </c>
      <c r="V24" s="15" t="inlineStr">
        <is>
          <t>—</t>
        </is>
      </c>
      <c r="W24" s="15" t="inlineStr">
        <is>
          <t>—</t>
        </is>
      </c>
      <c r="X24" s="15" t="inlineStr">
        <is>
          <t>—</t>
        </is>
      </c>
      <c r="Y24" s="15" t="inlineStr">
        <is>
          <t>—</t>
        </is>
      </c>
      <c r="Z24" s="17" t="inlineStr">
        <is>
          <t>—</t>
        </is>
      </c>
    </row>
    <row r="25" ht="30" customHeight="1">
      <c r="A25" s="15" t="n">
        <v>24</v>
      </c>
      <c r="B25" s="15" t="inlineStr">
        <is>
          <t>HS10-002</t>
        </is>
      </c>
      <c r="C25" s="15" t="n">
        <v>10</v>
      </c>
      <c r="D25" s="16" t="inlineStr">
        <is>
          <t>Sinh học; Giáo dục kinh tế và pháp luật; Địa lý; Vật lý</t>
        </is>
      </c>
      <c r="E25" s="15" t="n">
        <v>9.199999999999999</v>
      </c>
      <c r="F25" s="15" t="n">
        <v>8.300000000000001</v>
      </c>
      <c r="G25" s="15" t="n">
        <v>5.6</v>
      </c>
      <c r="H25" s="15" t="n">
        <v>6.5</v>
      </c>
      <c r="I25" s="15" t="n">
        <v>5.9</v>
      </c>
      <c r="J25" s="15" t="n">
        <v>6.7</v>
      </c>
      <c r="K25" s="15" t="inlineStr">
        <is>
          <t>—</t>
        </is>
      </c>
      <c r="L25" s="15" t="inlineStr">
        <is>
          <t>—</t>
        </is>
      </c>
      <c r="M25" s="15" t="inlineStr">
        <is>
          <t>—</t>
        </is>
      </c>
      <c r="N25" s="15" t="inlineStr">
        <is>
          <t>—</t>
        </is>
      </c>
      <c r="O25" s="17">
        <f>ROUND(AVERAGE(E25:N25),2)</f>
        <v>7.03</v>
      </c>
      <c r="P25" s="15" t="inlineStr">
        <is>
          <t>—</t>
        </is>
      </c>
      <c r="Q25" s="15" t="inlineStr">
        <is>
          <t>—</t>
        </is>
      </c>
      <c r="R25" s="15" t="inlineStr">
        <is>
          <t>—</t>
        </is>
      </c>
      <c r="S25" s="15" t="inlineStr">
        <is>
          <t>—</t>
        </is>
      </c>
      <c r="T25" s="15" t="inlineStr">
        <is>
          <t>—</t>
        </is>
      </c>
      <c r="U25" s="15" t="inlineStr">
        <is>
          <t>—</t>
        </is>
      </c>
      <c r="V25" s="15" t="inlineStr">
        <is>
          <t>—</t>
        </is>
      </c>
      <c r="W25" s="15" t="inlineStr">
        <is>
          <t>—</t>
        </is>
      </c>
      <c r="X25" s="15" t="inlineStr">
        <is>
          <t>—</t>
        </is>
      </c>
      <c r="Y25" s="15" t="inlineStr">
        <is>
          <t>—</t>
        </is>
      </c>
      <c r="Z25" s="17" t="inlineStr">
        <is>
          <t>—</t>
        </is>
      </c>
    </row>
    <row r="26" ht="30" customHeight="1">
      <c r="A26" s="15" t="n">
        <v>25</v>
      </c>
      <c r="B26" s="15" t="inlineStr">
        <is>
          <t>HS10-003</t>
        </is>
      </c>
      <c r="C26" s="15" t="n">
        <v>10</v>
      </c>
      <c r="D26" s="16" t="inlineStr">
        <is>
          <t>Sinh học; Giáo dục kinh tế và pháp luật; Địa lý; Vật lý</t>
        </is>
      </c>
      <c r="E26" s="15" t="n">
        <v>6.2</v>
      </c>
      <c r="F26" s="15" t="n">
        <v>7.1</v>
      </c>
      <c r="G26" s="15" t="n">
        <v>9.199999999999999</v>
      </c>
      <c r="H26" s="15" t="n">
        <v>8.199999999999999</v>
      </c>
      <c r="I26" s="15" t="n">
        <v>7.3</v>
      </c>
      <c r="J26" s="15" t="n">
        <v>5.9</v>
      </c>
      <c r="K26" s="15" t="inlineStr">
        <is>
          <t>—</t>
        </is>
      </c>
      <c r="L26" s="15" t="inlineStr">
        <is>
          <t>—</t>
        </is>
      </c>
      <c r="M26" s="15" t="inlineStr">
        <is>
          <t>—</t>
        </is>
      </c>
      <c r="N26" s="15" t="inlineStr">
        <is>
          <t>—</t>
        </is>
      </c>
      <c r="O26" s="17">
        <f>ROUND(AVERAGE(E26:N26),2)</f>
        <v>7.32</v>
      </c>
      <c r="P26" s="15" t="inlineStr">
        <is>
          <t>—</t>
        </is>
      </c>
      <c r="Q26" s="15" t="inlineStr">
        <is>
          <t>—</t>
        </is>
      </c>
      <c r="R26" s="15" t="inlineStr">
        <is>
          <t>—</t>
        </is>
      </c>
      <c r="S26" s="15" t="inlineStr">
        <is>
          <t>—</t>
        </is>
      </c>
      <c r="T26" s="15" t="inlineStr">
        <is>
          <t>—</t>
        </is>
      </c>
      <c r="U26" s="15" t="inlineStr">
        <is>
          <t>—</t>
        </is>
      </c>
      <c r="V26" s="15" t="inlineStr">
        <is>
          <t>—</t>
        </is>
      </c>
      <c r="W26" s="15" t="inlineStr">
        <is>
          <t>—</t>
        </is>
      </c>
      <c r="X26" s="15" t="inlineStr">
        <is>
          <t>—</t>
        </is>
      </c>
      <c r="Y26" s="15" t="inlineStr">
        <is>
          <t>—</t>
        </is>
      </c>
      <c r="Z26" s="17" t="inlineStr">
        <is>
          <t>—</t>
        </is>
      </c>
    </row>
    <row r="27" ht="30" customHeight="1">
      <c r="A27" s="15" t="n">
        <v>26</v>
      </c>
      <c r="B27" s="15" t="inlineStr">
        <is>
          <t>HS10-004</t>
        </is>
      </c>
      <c r="C27" s="15" t="n">
        <v>10</v>
      </c>
      <c r="D27" s="16" t="inlineStr">
        <is>
          <t>Sinh học; Giáo dục kinh tế và pháp luật; Địa lý; Vật lý</t>
        </is>
      </c>
      <c r="E27" s="15" t="n">
        <v>5.8</v>
      </c>
      <c r="F27" s="15" t="n">
        <v>8.699999999999999</v>
      </c>
      <c r="G27" s="15" t="n">
        <v>8.800000000000001</v>
      </c>
      <c r="H27" s="15" t="n">
        <v>6.4</v>
      </c>
      <c r="I27" s="15" t="inlineStr">
        <is>
          <t>—</t>
        </is>
      </c>
      <c r="J27" s="15" t="n">
        <v>8</v>
      </c>
      <c r="K27" s="15" t="n">
        <v>6.2</v>
      </c>
      <c r="L27" s="15" t="inlineStr">
        <is>
          <t>—</t>
        </is>
      </c>
      <c r="M27" s="15" t="inlineStr">
        <is>
          <t>—</t>
        </is>
      </c>
      <c r="N27" s="15" t="inlineStr">
        <is>
          <t>—</t>
        </is>
      </c>
      <c r="O27" s="17">
        <f>ROUND(AVERAGE(E27:N27),2)</f>
        <v>7.32</v>
      </c>
      <c r="P27" s="15" t="inlineStr">
        <is>
          <t>—</t>
        </is>
      </c>
      <c r="Q27" s="15" t="inlineStr">
        <is>
          <t>—</t>
        </is>
      </c>
      <c r="R27" s="15" t="inlineStr">
        <is>
          <t>—</t>
        </is>
      </c>
      <c r="S27" s="15" t="inlineStr">
        <is>
          <t>—</t>
        </is>
      </c>
      <c r="T27" s="15" t="inlineStr">
        <is>
          <t>—</t>
        </is>
      </c>
      <c r="U27" s="15" t="inlineStr">
        <is>
          <t>—</t>
        </is>
      </c>
      <c r="V27" s="15" t="inlineStr">
        <is>
          <t>—</t>
        </is>
      </c>
      <c r="W27" s="15" t="inlineStr">
        <is>
          <t>—</t>
        </is>
      </c>
      <c r="X27" s="15" t="inlineStr">
        <is>
          <t>—</t>
        </is>
      </c>
      <c r="Y27" s="15" t="inlineStr">
        <is>
          <t>—</t>
        </is>
      </c>
      <c r="Z27" s="17" t="inlineStr">
        <is>
          <t>—</t>
        </is>
      </c>
    </row>
    <row r="28" ht="30" customHeight="1">
      <c r="A28" s="15" t="n">
        <v>27</v>
      </c>
      <c r="B28" s="15" t="inlineStr">
        <is>
          <t>HS10-005</t>
        </is>
      </c>
      <c r="C28" s="15" t="n">
        <v>10</v>
      </c>
      <c r="D28" s="16" t="inlineStr">
        <is>
          <t>Sinh học; Giáo dục kinh tế và pháp luật; Địa lý; Vật lý</t>
        </is>
      </c>
      <c r="E28" s="15" t="n">
        <v>8.6</v>
      </c>
      <c r="F28" s="15" t="n">
        <v>6.9</v>
      </c>
      <c r="G28" s="15" t="n">
        <v>5.4</v>
      </c>
      <c r="H28" s="15" t="n">
        <v>8.800000000000001</v>
      </c>
      <c r="I28" s="15" t="inlineStr">
        <is>
          <t>—</t>
        </is>
      </c>
      <c r="J28" s="15" t="inlineStr">
        <is>
          <t>—</t>
        </is>
      </c>
      <c r="K28" s="15" t="inlineStr">
        <is>
          <t>—</t>
        </is>
      </c>
      <c r="L28" s="15" t="n">
        <v>5.6</v>
      </c>
      <c r="M28" s="15" t="n">
        <v>8.9</v>
      </c>
      <c r="N28" s="15" t="inlineStr">
        <is>
          <t>—</t>
        </is>
      </c>
      <c r="O28" s="17">
        <f>ROUND(AVERAGE(E28:N28),2)</f>
        <v>7.37</v>
      </c>
      <c r="P28" s="15" t="inlineStr">
        <is>
          <t>—</t>
        </is>
      </c>
      <c r="Q28" s="15" t="inlineStr">
        <is>
          <t>—</t>
        </is>
      </c>
      <c r="R28" s="15" t="inlineStr">
        <is>
          <t>—</t>
        </is>
      </c>
      <c r="S28" s="15" t="inlineStr">
        <is>
          <t>—</t>
        </is>
      </c>
      <c r="T28" s="15" t="inlineStr">
        <is>
          <t>—</t>
        </is>
      </c>
      <c r="U28" s="15" t="inlineStr">
        <is>
          <t>—</t>
        </is>
      </c>
      <c r="V28" s="15" t="inlineStr">
        <is>
          <t>—</t>
        </is>
      </c>
      <c r="W28" s="15" t="inlineStr">
        <is>
          <t>—</t>
        </is>
      </c>
      <c r="X28" s="15" t="inlineStr">
        <is>
          <t>—</t>
        </is>
      </c>
      <c r="Y28" s="15" t="inlineStr">
        <is>
          <t>—</t>
        </is>
      </c>
      <c r="Z28" s="17" t="inlineStr">
        <is>
          <t>—</t>
        </is>
      </c>
    </row>
    <row r="29" ht="30" customHeight="1">
      <c r="A29" s="15" t="n">
        <v>28</v>
      </c>
      <c r="B29" s="15" t="inlineStr">
        <is>
          <t>HS10-006</t>
        </is>
      </c>
      <c r="C29" s="15" t="n">
        <v>10</v>
      </c>
      <c r="D29" s="16" t="inlineStr">
        <is>
          <t>Sinh học; Giáo dục kinh tế và pháp luật; Địa lý; Vật lý</t>
        </is>
      </c>
      <c r="E29" s="15" t="n">
        <v>7.9</v>
      </c>
      <c r="F29" s="15" t="n">
        <v>5.9</v>
      </c>
      <c r="G29" s="15" t="n">
        <v>8.199999999999999</v>
      </c>
      <c r="H29" s="15" t="n">
        <v>7.5</v>
      </c>
      <c r="I29" s="15" t="inlineStr">
        <is>
          <t>—</t>
        </is>
      </c>
      <c r="J29" s="15" t="inlineStr">
        <is>
          <t>—</t>
        </is>
      </c>
      <c r="K29" s="15" t="inlineStr">
        <is>
          <t>—</t>
        </is>
      </c>
      <c r="L29" s="15" t="n">
        <v>7.5</v>
      </c>
      <c r="M29" s="15" t="n">
        <v>4.7</v>
      </c>
      <c r="N29" s="15" t="inlineStr">
        <is>
          <t>—</t>
        </is>
      </c>
      <c r="O29" s="17">
        <f>ROUND(AVERAGE(E29:N29),2)</f>
        <v>6.95</v>
      </c>
      <c r="P29" s="15" t="inlineStr">
        <is>
          <t>—</t>
        </is>
      </c>
      <c r="Q29" s="15" t="inlineStr">
        <is>
          <t>—</t>
        </is>
      </c>
      <c r="R29" s="15" t="inlineStr">
        <is>
          <t>—</t>
        </is>
      </c>
      <c r="S29" s="15" t="inlineStr">
        <is>
          <t>—</t>
        </is>
      </c>
      <c r="T29" s="15" t="inlineStr">
        <is>
          <t>—</t>
        </is>
      </c>
      <c r="U29" s="15" t="inlineStr">
        <is>
          <t>—</t>
        </is>
      </c>
      <c r="V29" s="15" t="inlineStr">
        <is>
          <t>—</t>
        </is>
      </c>
      <c r="W29" s="15" t="inlineStr">
        <is>
          <t>—</t>
        </is>
      </c>
      <c r="X29" s="15" t="inlineStr">
        <is>
          <t>—</t>
        </is>
      </c>
      <c r="Y29" s="15" t="inlineStr">
        <is>
          <t>—</t>
        </is>
      </c>
      <c r="Z29" s="17" t="inlineStr">
        <is>
          <t>—</t>
        </is>
      </c>
    </row>
    <row r="30" ht="30" customHeight="1">
      <c r="A30" s="15" t="n">
        <v>29</v>
      </c>
      <c r="B30" s="15" t="inlineStr">
        <is>
          <t>HS10-007</t>
        </is>
      </c>
      <c r="C30" s="15" t="n">
        <v>10</v>
      </c>
      <c r="D30" s="16" t="inlineStr">
        <is>
          <t>Sinh học; Giáo dục kinh tế và pháp luật; Địa lý; Vật lý</t>
        </is>
      </c>
      <c r="E30" s="15" t="n">
        <v>4.9</v>
      </c>
      <c r="F30" s="15" t="n">
        <v>8.6</v>
      </c>
      <c r="G30" s="15" t="n">
        <v>7</v>
      </c>
      <c r="H30" s="15" t="n">
        <v>6.7</v>
      </c>
      <c r="I30" s="15" t="inlineStr">
        <is>
          <t>—</t>
        </is>
      </c>
      <c r="J30" s="15" t="inlineStr">
        <is>
          <t>—</t>
        </is>
      </c>
      <c r="K30" s="15" t="inlineStr">
        <is>
          <t>—</t>
        </is>
      </c>
      <c r="L30" s="15" t="n">
        <v>6.8</v>
      </c>
      <c r="M30" s="15" t="n">
        <v>7.4</v>
      </c>
      <c r="N30" s="15" t="inlineStr">
        <is>
          <t>—</t>
        </is>
      </c>
      <c r="O30" s="17">
        <f>ROUND(AVERAGE(E30:N30),2)</f>
        <v>6.9</v>
      </c>
      <c r="P30" s="15" t="inlineStr">
        <is>
          <t>—</t>
        </is>
      </c>
      <c r="Q30" s="15" t="inlineStr">
        <is>
          <t>—</t>
        </is>
      </c>
      <c r="R30" s="15" t="inlineStr">
        <is>
          <t>—</t>
        </is>
      </c>
      <c r="S30" s="15" t="inlineStr">
        <is>
          <t>—</t>
        </is>
      </c>
      <c r="T30" s="15" t="inlineStr">
        <is>
          <t>—</t>
        </is>
      </c>
      <c r="U30" s="15" t="inlineStr">
        <is>
          <t>—</t>
        </is>
      </c>
      <c r="V30" s="15" t="inlineStr">
        <is>
          <t>—</t>
        </is>
      </c>
      <c r="W30" s="15" t="inlineStr">
        <is>
          <t>—</t>
        </is>
      </c>
      <c r="X30" s="15" t="inlineStr">
        <is>
          <t>—</t>
        </is>
      </c>
      <c r="Y30" s="15" t="inlineStr">
        <is>
          <t>—</t>
        </is>
      </c>
      <c r="Z30" s="17" t="inlineStr">
        <is>
          <t>—</t>
        </is>
      </c>
    </row>
    <row r="31" ht="30" customHeight="1">
      <c r="A31" s="15" t="n">
        <v>30</v>
      </c>
      <c r="B31" s="15" t="inlineStr">
        <is>
          <t>HS10-008</t>
        </is>
      </c>
      <c r="C31" s="15" t="n">
        <v>10</v>
      </c>
      <c r="D31" s="16" t="inlineStr">
        <is>
          <t>Sinh học; Giáo dục kinh tế và pháp luật; Địa lý; Vật lý</t>
        </is>
      </c>
      <c r="E31" s="15" t="n">
        <v>8.5</v>
      </c>
      <c r="F31" s="15" t="n">
        <v>6</v>
      </c>
      <c r="G31" s="15" t="n">
        <v>8.699999999999999</v>
      </c>
      <c r="H31" s="15" t="n">
        <v>7</v>
      </c>
      <c r="I31" s="15" t="inlineStr">
        <is>
          <t>—</t>
        </is>
      </c>
      <c r="J31" s="15" t="n">
        <v>6.4</v>
      </c>
      <c r="K31" s="15" t="n">
        <v>6.4</v>
      </c>
      <c r="L31" s="15" t="inlineStr">
        <is>
          <t>—</t>
        </is>
      </c>
      <c r="M31" s="15" t="inlineStr">
        <is>
          <t>—</t>
        </is>
      </c>
      <c r="N31" s="15" t="inlineStr">
        <is>
          <t>—</t>
        </is>
      </c>
      <c r="O31" s="17">
        <f>ROUND(AVERAGE(E31:N31),2)</f>
        <v>7.17</v>
      </c>
      <c r="P31" s="15" t="inlineStr">
        <is>
          <t>—</t>
        </is>
      </c>
      <c r="Q31" s="15" t="inlineStr">
        <is>
          <t>—</t>
        </is>
      </c>
      <c r="R31" s="15" t="inlineStr">
        <is>
          <t>—</t>
        </is>
      </c>
      <c r="S31" s="15" t="inlineStr">
        <is>
          <t>—</t>
        </is>
      </c>
      <c r="T31" s="15" t="inlineStr">
        <is>
          <t>—</t>
        </is>
      </c>
      <c r="U31" s="15" t="inlineStr">
        <is>
          <t>—</t>
        </is>
      </c>
      <c r="V31" s="15" t="inlineStr">
        <is>
          <t>—</t>
        </is>
      </c>
      <c r="W31" s="15" t="inlineStr">
        <is>
          <t>—</t>
        </is>
      </c>
      <c r="X31" s="15" t="inlineStr">
        <is>
          <t>—</t>
        </is>
      </c>
      <c r="Y31" s="15" t="inlineStr">
        <is>
          <t>—</t>
        </is>
      </c>
      <c r="Z31" s="17" t="inlineStr">
        <is>
          <t>—</t>
        </is>
      </c>
    </row>
    <row r="32" ht="23" customHeight="1"/>
    <row r="33" ht="23" customHeight="1"/>
    <row r="34" ht="23" customHeight="1"/>
    <row r="35" ht="23" customHeight="1"/>
    <row r="36" ht="23" customHeight="1"/>
    <row r="37" ht="23" customHeight="1"/>
    <row r="38" ht="23" customHeight="1"/>
    <row r="39" ht="23" customHeight="1"/>
    <row r="40" ht="23" customHeight="1"/>
    <row r="41" ht="23" customHeight="1"/>
    <row r="42" ht="23" customHeight="1"/>
    <row r="43" ht="23" customHeight="1"/>
    <row r="44" ht="23" customHeight="1"/>
    <row r="45" ht="23" customHeight="1"/>
    <row r="46" ht="23" customHeight="1"/>
    <row r="47" ht="23" customHeight="1"/>
    <row r="48" ht="23" customHeight="1"/>
    <row r="49" ht="23" customHeight="1"/>
    <row r="50" ht="23" customHeight="1"/>
    <row r="51" ht="23" customHeight="1"/>
    <row r="52" ht="23" customHeight="1"/>
    <row r="53" ht="23" customHeight="1"/>
    <row r="54" ht="23" customHeight="1"/>
    <row r="55" ht="23" customHeight="1"/>
    <row r="56" ht="23" customHeight="1"/>
    <row r="57" ht="23" customHeight="1"/>
    <row r="58" ht="23" customHeight="1"/>
    <row r="59" ht="23" customHeight="1"/>
    <row r="60" ht="23" customHeight="1"/>
    <row r="61" ht="23" customHeight="1"/>
    <row r="62" ht="23" customHeight="1"/>
    <row r="63" ht="23" customHeight="1"/>
    <row r="64" ht="23" customHeight="1"/>
    <row r="65" ht="23" customHeight="1"/>
    <row r="66" ht="23" customHeight="1"/>
    <row r="67" ht="23" customHeight="1"/>
    <row r="68" ht="23" customHeight="1"/>
    <row r="69" ht="23" customHeight="1"/>
    <row r="70" ht="23" customHeight="1"/>
    <row r="71" ht="23" customHeight="1"/>
    <row r="72" ht="23" customHeight="1"/>
    <row r="73" ht="23" customHeight="1"/>
    <row r="74" ht="23" customHeight="1"/>
    <row r="75" ht="23" customHeight="1"/>
    <row r="76" ht="23" customHeight="1"/>
    <row r="77" ht="23" customHeight="1"/>
    <row r="78" ht="23" customHeight="1"/>
    <row r="79" ht="23" customHeight="1"/>
    <row r="80" ht="23" customHeight="1"/>
    <row r="81" ht="23" customHeight="1"/>
    <row r="82" ht="23" customHeight="1"/>
    <row r="83" ht="23" customHeight="1"/>
    <row r="84" ht="23" customHeight="1"/>
    <row r="85" ht="23" customHeight="1"/>
    <row r="86" ht="23" customHeight="1"/>
    <row r="87" ht="23" customHeight="1"/>
    <row r="88" ht="23" customHeight="1"/>
    <row r="89" ht="23" customHeight="1"/>
    <row r="90" ht="23" customHeight="1"/>
    <row r="91" ht="23" customHeight="1"/>
    <row r="92" ht="23" customHeight="1"/>
    <row r="93" ht="23" customHeight="1"/>
    <row r="94" ht="23" customHeight="1"/>
    <row r="95" ht="23" customHeight="1"/>
    <row r="96" ht="23" customHeight="1"/>
    <row r="97" ht="23" customHeight="1"/>
    <row r="98" ht="23" customHeight="1"/>
    <row r="99" ht="23" customHeight="1"/>
    <row r="100" ht="23" customHeight="1"/>
    <row r="101" ht="23" customHeight="1"/>
    <row r="102" ht="23" customHeight="1"/>
    <row r="103" ht="23" customHeight="1"/>
    <row r="104" ht="23" customHeight="1"/>
    <row r="105" ht="23" customHeight="1"/>
    <row r="106" ht="23" customHeight="1"/>
    <row r="107" ht="23" customHeight="1"/>
    <row r="108" ht="23" customHeight="1"/>
    <row r="109" ht="23" customHeight="1"/>
    <row r="110" ht="23" customHeight="1"/>
    <row r="111" ht="23" customHeight="1"/>
    <row r="112" ht="23" customHeight="1"/>
    <row r="113" ht="23" customHeight="1"/>
    <row r="114" ht="23" customHeight="1"/>
    <row r="115" ht="23" customHeight="1"/>
    <row r="116" ht="23" customHeight="1"/>
    <row r="117" ht="23" customHeight="1"/>
    <row r="118" ht="23" customHeight="1"/>
    <row r="119" ht="23" customHeight="1"/>
    <row r="120" ht="23" customHeight="1"/>
    <row r="121" ht="23" customHeight="1"/>
    <row r="122" ht="23" customHeight="1"/>
    <row r="123" ht="23" customHeight="1"/>
    <row r="124" ht="23" customHeight="1"/>
    <row r="125" ht="23" customHeight="1"/>
    <row r="126" ht="23" customHeight="1"/>
    <row r="127" ht="23" customHeight="1"/>
    <row r="128" ht="23" customHeight="1"/>
    <row r="129" ht="23" customHeight="1"/>
    <row r="130" ht="23" customHeight="1"/>
    <row r="131" ht="23" customHeight="1"/>
    <row r="132" ht="23" customHeight="1"/>
    <row r="133" ht="23" customHeight="1"/>
    <row r="134" ht="23" customHeight="1"/>
    <row r="135" ht="23" customHeight="1"/>
    <row r="136" ht="23" customHeight="1"/>
    <row r="137" ht="23" customHeight="1"/>
    <row r="138" ht="23" customHeight="1"/>
    <row r="139" ht="23" customHeight="1"/>
    <row r="140" ht="23" customHeight="1"/>
    <row r="141" ht="23" customHeight="1"/>
    <row r="142" ht="23" customHeight="1"/>
    <row r="143" ht="23" customHeight="1"/>
    <row r="144" ht="23" customHeight="1"/>
    <row r="145" ht="23" customHeight="1"/>
    <row r="146" ht="23" customHeight="1"/>
    <row r="147" ht="23" customHeight="1"/>
    <row r="148" ht="23" customHeight="1"/>
    <row r="149" ht="23" customHeight="1"/>
    <row r="150" ht="23" customHeight="1"/>
    <row r="151" ht="23" customHeight="1"/>
    <row r="152" ht="23" customHeight="1"/>
    <row r="153" ht="23" customHeight="1"/>
    <row r="154" ht="23" customHeight="1"/>
    <row r="155" ht="23" customHeight="1"/>
    <row r="156" ht="23" customHeight="1"/>
    <row r="157" ht="23" customHeight="1"/>
    <row r="158" ht="23" customHeight="1"/>
    <row r="159" ht="23" customHeight="1"/>
    <row r="160" ht="23" customHeight="1"/>
    <row r="161" ht="23" customHeight="1"/>
    <row r="162" ht="23" customHeight="1"/>
    <row r="163" ht="23" customHeight="1"/>
    <row r="164" ht="23" customHeight="1"/>
    <row r="165" ht="23" customHeight="1"/>
    <row r="166" ht="23" customHeight="1"/>
    <row r="167" ht="23" customHeight="1"/>
    <row r="168" ht="23" customHeight="1"/>
    <row r="169" ht="23" customHeight="1"/>
    <row r="170" ht="23" customHeight="1"/>
    <row r="171" ht="23" customHeight="1"/>
    <row r="172" ht="23" customHeight="1"/>
    <row r="173" ht="23" customHeight="1"/>
    <row r="174" ht="23" customHeight="1"/>
    <row r="175" ht="23" customHeight="1"/>
    <row r="176" ht="23" customHeight="1"/>
    <row r="177" ht="23" customHeight="1"/>
    <row r="178" ht="23" customHeight="1"/>
    <row r="179" ht="23" customHeight="1"/>
    <row r="180" ht="23" customHeight="1"/>
    <row r="181" ht="23" customHeight="1"/>
    <row r="182" ht="23" customHeight="1"/>
    <row r="183" ht="23" customHeight="1"/>
    <row r="184" ht="23" customHeight="1"/>
    <row r="185" ht="23" customHeight="1"/>
    <row r="186" ht="23" customHeight="1"/>
    <row r="187" ht="23" customHeight="1"/>
    <row r="188" ht="23" customHeight="1"/>
    <row r="189" ht="23" customHeight="1"/>
    <row r="190" ht="23" customHeight="1"/>
    <row r="191" ht="23" customHeight="1"/>
    <row r="192" ht="23" customHeight="1"/>
    <row r="193" ht="23" customHeight="1"/>
    <row r="194" ht="23" customHeight="1"/>
    <row r="195" ht="23" customHeight="1"/>
    <row r="196" ht="23" customHeight="1"/>
    <row r="197" ht="23" customHeight="1"/>
    <row r="198" ht="23" customHeight="1"/>
    <row r="199" ht="23" customHeight="1"/>
    <row r="200" ht="23" customHeight="1"/>
    <row r="201" ht="23" customHeight="1"/>
    <row r="202" ht="23" customHeight="1"/>
    <row r="203" ht="23" customHeight="1"/>
    <row r="204" ht="23" customHeight="1"/>
    <row r="205" ht="23" customHeight="1"/>
    <row r="206" ht="23" customHeight="1"/>
    <row r="207" ht="23" customHeight="1"/>
    <row r="208" ht="23" customHeight="1"/>
    <row r="209" ht="23" customHeight="1"/>
    <row r="210" ht="23" customHeight="1"/>
    <row r="211" ht="23" customHeight="1"/>
    <row r="212" ht="23" customHeight="1"/>
    <row r="213" ht="23" customHeight="1"/>
    <row r="214" ht="23" customHeight="1"/>
    <row r="215" ht="23" customHeight="1"/>
    <row r="216" ht="23" customHeight="1"/>
    <row r="217" ht="23" customHeight="1"/>
    <row r="218" ht="23" customHeight="1"/>
    <row r="219" ht="23" customHeight="1"/>
    <row r="220" ht="23" customHeight="1"/>
    <row r="221" ht="23" customHeight="1"/>
    <row r="222" ht="23" customHeight="1"/>
    <row r="223" ht="23" customHeight="1"/>
    <row r="224" ht="23" customHeight="1"/>
    <row r="225" ht="23" customHeight="1"/>
    <row r="226" ht="23" customHeight="1"/>
    <row r="227" ht="23" customHeight="1"/>
    <row r="228" ht="23" customHeight="1"/>
    <row r="229" ht="23" customHeight="1"/>
    <row r="230" ht="23" customHeight="1"/>
    <row r="231" ht="23" customHeight="1"/>
    <row r="232" ht="23" customHeight="1"/>
    <row r="233" ht="23" customHeight="1"/>
    <row r="234" ht="23" customHeight="1"/>
    <row r="235" ht="23" customHeight="1"/>
    <row r="236" ht="23" customHeight="1"/>
    <row r="237" ht="23" customHeight="1"/>
    <row r="238" ht="23" customHeight="1"/>
    <row r="239" ht="23" customHeight="1"/>
    <row r="240" ht="23" customHeight="1"/>
    <row r="241" ht="23" customHeight="1"/>
    <row r="242" ht="23" customHeight="1"/>
    <row r="243" ht="23" customHeight="1"/>
    <row r="244" ht="23" customHeight="1"/>
    <row r="245" ht="23" customHeight="1"/>
    <row r="246" ht="23" customHeight="1"/>
    <row r="247" ht="23" customHeight="1"/>
    <row r="248" ht="23" customHeight="1"/>
    <row r="249" ht="23" customHeight="1"/>
    <row r="250" ht="23" customHeight="1"/>
    <row r="251" ht="23" customHeight="1"/>
    <row r="252" ht="23" customHeight="1"/>
    <row r="253" ht="23" customHeight="1"/>
    <row r="254" ht="23" customHeight="1"/>
    <row r="255" ht="23" customHeight="1"/>
    <row r="256" ht="23" customHeight="1"/>
    <row r="257" ht="23" customHeight="1"/>
    <row r="258" ht="23" customHeight="1"/>
    <row r="259" ht="23" customHeight="1"/>
    <row r="260" ht="23" customHeight="1"/>
    <row r="261" ht="23" customHeight="1"/>
    <row r="262" ht="23" customHeight="1"/>
    <row r="263" ht="23" customHeight="1"/>
    <row r="264" ht="23" customHeight="1"/>
    <row r="265" ht="23" customHeight="1"/>
    <row r="266" ht="23" customHeight="1"/>
    <row r="267" ht="23" customHeight="1"/>
    <row r="268" ht="23" customHeight="1"/>
    <row r="269" ht="23" customHeight="1"/>
    <row r="270" ht="23" customHeight="1"/>
    <row r="271" ht="23" customHeight="1"/>
    <row r="272" ht="23" customHeight="1"/>
    <row r="273" ht="23" customHeight="1"/>
    <row r="274" ht="23" customHeight="1"/>
    <row r="275" ht="23" customHeight="1"/>
    <row r="276" ht="23" customHeight="1"/>
    <row r="277" ht="23" customHeight="1"/>
    <row r="278" ht="23" customHeight="1"/>
    <row r="279" ht="23" customHeight="1"/>
    <row r="280" ht="23" customHeight="1"/>
    <row r="281" ht="23" customHeight="1"/>
    <row r="282" ht="23" customHeight="1"/>
    <row r="283" ht="23" customHeight="1"/>
    <row r="284" ht="23" customHeight="1"/>
    <row r="285" ht="23" customHeight="1"/>
    <row r="286" ht="23" customHeight="1"/>
    <row r="287" ht="23" customHeight="1"/>
    <row r="288" ht="23" customHeight="1"/>
    <row r="289" ht="23" customHeight="1"/>
    <row r="290" ht="23" customHeight="1"/>
    <row r="291" ht="23" customHeight="1"/>
    <row r="292" ht="23" customHeight="1"/>
    <row r="293" ht="23" customHeight="1"/>
    <row r="294" ht="23" customHeight="1"/>
    <row r="295" ht="23" customHeight="1"/>
    <row r="296" ht="23" customHeight="1"/>
    <row r="297" ht="23" customHeight="1"/>
    <row r="298" ht="23" customHeight="1"/>
    <row r="299" ht="23" customHeight="1"/>
    <row r="300" ht="23" customHeight="1"/>
    <row r="301" ht="23" customHeight="1"/>
    <row r="302" ht="23" customHeight="1"/>
    <row r="303" ht="23" customHeight="1"/>
    <row r="304" ht="23" customHeight="1"/>
    <row r="305" ht="23" customHeight="1"/>
    <row r="306" ht="23" customHeight="1"/>
    <row r="307" ht="23" customHeight="1"/>
    <row r="308" ht="23" customHeight="1"/>
    <row r="309" ht="23" customHeight="1"/>
    <row r="310" ht="23" customHeight="1"/>
    <row r="311" ht="23" customHeight="1"/>
    <row r="312" ht="23" customHeight="1"/>
    <row r="313" ht="23" customHeight="1"/>
    <row r="314" ht="23" customHeight="1"/>
    <row r="315" ht="23" customHeight="1"/>
    <row r="316" ht="23" customHeight="1"/>
    <row r="317" ht="23" customHeight="1"/>
    <row r="318" ht="23" customHeight="1"/>
    <row r="319" ht="23" customHeight="1"/>
    <row r="320" ht="23" customHeight="1"/>
    <row r="321" ht="23" customHeight="1"/>
    <row r="322" ht="23" customHeight="1"/>
    <row r="323" ht="23" customHeight="1"/>
    <row r="324" ht="23" customHeight="1"/>
    <row r="325" ht="23" customHeight="1"/>
    <row r="326" ht="23" customHeight="1"/>
    <row r="327" ht="23" customHeight="1"/>
    <row r="328" ht="23" customHeight="1"/>
    <row r="329" ht="23" customHeight="1"/>
    <row r="330" ht="23" customHeight="1"/>
    <row r="331" ht="23" customHeight="1"/>
    <row r="332" ht="23" customHeight="1"/>
    <row r="333" ht="23" customHeight="1"/>
    <row r="334" ht="23" customHeight="1"/>
    <row r="335" ht="23" customHeight="1"/>
    <row r="336" ht="23" customHeight="1"/>
    <row r="337" ht="23" customHeight="1"/>
    <row r="338" ht="23" customHeight="1"/>
    <row r="339" ht="23" customHeight="1"/>
    <row r="340" ht="23" customHeight="1"/>
    <row r="341" ht="23" customHeight="1"/>
    <row r="342" ht="23" customHeight="1"/>
    <row r="343" ht="23" customHeight="1"/>
    <row r="344" ht="23" customHeight="1"/>
    <row r="345" ht="23" customHeight="1"/>
    <row r="346" ht="23" customHeight="1"/>
    <row r="347" ht="23" customHeight="1"/>
    <row r="348" ht="23" customHeight="1"/>
    <row r="349" ht="23" customHeight="1"/>
    <row r="350" ht="23" customHeight="1"/>
    <row r="351" ht="23" customHeight="1"/>
    <row r="352" ht="23" customHeight="1"/>
    <row r="353" ht="23" customHeight="1"/>
    <row r="354" ht="23" customHeight="1"/>
    <row r="355" ht="23" customHeight="1"/>
    <row r="356" ht="23" customHeight="1"/>
    <row r="357" ht="23" customHeight="1"/>
    <row r="358" ht="23" customHeight="1"/>
    <row r="359" ht="23" customHeight="1"/>
    <row r="360" ht="23" customHeight="1"/>
    <row r="361" ht="23" customHeight="1"/>
    <row r="362" ht="23" customHeight="1"/>
    <row r="363" ht="23" customHeight="1"/>
    <row r="364" ht="23" customHeight="1"/>
    <row r="365" ht="23" customHeight="1"/>
    <row r="366" ht="23" customHeight="1"/>
    <row r="367" ht="23" customHeight="1"/>
    <row r="368" ht="23" customHeight="1"/>
    <row r="369" ht="23" customHeight="1"/>
    <row r="370" ht="23" customHeight="1"/>
    <row r="371" ht="23" customHeight="1"/>
    <row r="372" ht="23" customHeight="1"/>
    <row r="373" ht="23" customHeight="1"/>
    <row r="374" ht="23" customHeight="1"/>
    <row r="375" ht="23" customHeight="1"/>
    <row r="376" ht="23" customHeight="1"/>
    <row r="377" ht="23" customHeight="1"/>
    <row r="378" ht="23" customHeight="1"/>
    <row r="379" ht="23" customHeight="1"/>
    <row r="380" ht="23" customHeight="1"/>
    <row r="381" ht="23" customHeight="1"/>
    <row r="382" ht="23" customHeight="1"/>
    <row r="383" ht="23" customHeight="1"/>
    <row r="384" ht="23" customHeight="1"/>
    <row r="385" ht="23" customHeight="1"/>
    <row r="386" ht="23" customHeight="1"/>
    <row r="387" ht="23" customHeight="1"/>
    <row r="388" ht="23" customHeight="1"/>
    <row r="389" ht="23" customHeight="1"/>
    <row r="390" ht="23" customHeight="1"/>
    <row r="391" ht="23" customHeight="1"/>
    <row r="392" ht="23" customHeight="1"/>
    <row r="393" ht="23" customHeight="1"/>
    <row r="394" ht="23" customHeight="1"/>
    <row r="395" ht="23" customHeight="1"/>
    <row r="396" ht="23" customHeight="1"/>
    <row r="397" ht="23" customHeight="1"/>
    <row r="398" ht="23" customHeight="1"/>
    <row r="399" ht="23" customHeight="1"/>
    <row r="400" ht="23" customHeight="1"/>
    <row r="401" ht="23" customHeight="1"/>
    <row r="402" ht="23" customHeight="1"/>
    <row r="403" ht="23" customHeight="1"/>
    <row r="404" ht="23" customHeight="1"/>
    <row r="405" ht="23" customHeight="1"/>
    <row r="406" ht="23" customHeight="1"/>
    <row r="407" ht="23" customHeight="1"/>
    <row r="408" ht="23" customHeight="1"/>
    <row r="409" ht="23" customHeight="1"/>
    <row r="410" ht="23" customHeight="1"/>
    <row r="411" ht="23" customHeight="1"/>
    <row r="412" ht="23" customHeight="1"/>
    <row r="413" ht="23" customHeight="1"/>
    <row r="414" ht="23" customHeight="1"/>
    <row r="415" ht="23" customHeight="1"/>
    <row r="416" ht="23" customHeight="1"/>
    <row r="417" ht="23" customHeight="1"/>
    <row r="418" ht="23" customHeight="1"/>
    <row r="419" ht="23" customHeight="1"/>
    <row r="420" ht="23" customHeight="1"/>
    <row r="421" ht="23" customHeight="1"/>
    <row r="422" ht="23" customHeight="1"/>
    <row r="423" ht="23" customHeight="1"/>
    <row r="424" ht="23" customHeight="1"/>
    <row r="425" ht="23" customHeight="1"/>
    <row r="426" ht="23" customHeight="1"/>
    <row r="427" ht="23" customHeight="1"/>
    <row r="428" ht="23" customHeight="1"/>
    <row r="429" ht="23" customHeight="1"/>
    <row r="430" ht="23" customHeight="1"/>
    <row r="431" ht="23" customHeight="1"/>
    <row r="432" ht="23" customHeight="1"/>
    <row r="433" ht="23" customHeight="1"/>
    <row r="434" ht="23" customHeight="1"/>
    <row r="435" ht="23" customHeight="1"/>
    <row r="436" ht="23" customHeight="1"/>
    <row r="437" ht="23" customHeight="1"/>
    <row r="438" ht="23" customHeight="1"/>
    <row r="439" ht="23" customHeight="1"/>
    <row r="440" ht="23" customHeight="1"/>
    <row r="441" ht="23" customHeight="1"/>
    <row r="442" ht="23" customHeight="1"/>
    <row r="443" ht="23" customHeight="1"/>
    <row r="444" ht="23" customHeight="1"/>
    <row r="445" ht="23" customHeight="1"/>
    <row r="446" ht="23" customHeight="1"/>
    <row r="447" ht="23" customHeight="1"/>
    <row r="448" ht="23" customHeight="1"/>
    <row r="449" ht="23" customHeight="1"/>
    <row r="450" ht="23" customHeight="1"/>
    <row r="451" ht="23" customHeight="1"/>
    <row r="452" ht="23" customHeight="1"/>
    <row r="453" ht="23" customHeight="1"/>
    <row r="454" ht="23" customHeight="1"/>
    <row r="455" ht="23" customHeight="1"/>
    <row r="456" ht="23" customHeight="1"/>
    <row r="457" ht="23" customHeight="1"/>
    <row r="458" ht="23" customHeight="1"/>
    <row r="459" ht="23" customHeight="1"/>
    <row r="460" ht="23" customHeight="1"/>
    <row r="461" ht="23" customHeight="1"/>
    <row r="462" ht="23" customHeight="1"/>
    <row r="463" ht="23" customHeight="1"/>
    <row r="464" ht="23" customHeight="1"/>
    <row r="465" ht="23" customHeight="1"/>
    <row r="466" ht="23" customHeight="1"/>
    <row r="467" ht="23" customHeight="1"/>
    <row r="468" ht="23" customHeight="1"/>
    <row r="469" ht="23" customHeight="1"/>
    <row r="470" ht="23" customHeight="1"/>
    <row r="471" ht="23" customHeight="1"/>
    <row r="472" ht="23" customHeight="1"/>
    <row r="473" ht="23" customHeight="1"/>
    <row r="474" ht="23" customHeight="1"/>
    <row r="475" ht="23" customHeight="1"/>
    <row r="476" ht="23" customHeight="1"/>
    <row r="477" ht="23" customHeight="1"/>
    <row r="478" ht="23" customHeight="1"/>
    <row r="479" ht="23" customHeight="1"/>
    <row r="480" ht="23" customHeight="1"/>
    <row r="481" ht="23" customHeight="1"/>
    <row r="482" ht="23" customHeight="1"/>
    <row r="483" ht="23" customHeight="1"/>
    <row r="484" ht="23" customHeight="1"/>
    <row r="485" ht="23" customHeight="1"/>
    <row r="486" ht="23" customHeight="1"/>
    <row r="487" ht="23" customHeight="1"/>
    <row r="488" ht="23" customHeight="1"/>
    <row r="489" ht="23" customHeight="1"/>
    <row r="490" ht="23" customHeight="1"/>
    <row r="491" ht="23" customHeight="1"/>
    <row r="492" ht="23" customHeight="1"/>
    <row r="493" ht="23" customHeight="1"/>
    <row r="494" ht="23" customHeight="1"/>
    <row r="495" ht="23" customHeight="1"/>
    <row r="496" ht="23" customHeight="1"/>
    <row r="497" ht="23" customHeight="1"/>
    <row r="498" ht="23" customHeight="1"/>
    <row r="499" ht="23" customHeight="1"/>
    <row r="500" ht="23" customHeight="1"/>
    <row r="501" ht="23" customHeight="1"/>
    <row r="502" ht="23" customHeight="1"/>
    <row r="503" ht="23" customHeight="1"/>
    <row r="504" ht="23" customHeight="1"/>
    <row r="505" ht="23" customHeight="1"/>
    <row r="506" ht="23" customHeight="1"/>
    <row r="507" ht="23" customHeight="1"/>
    <row r="508" ht="23" customHeight="1"/>
    <row r="509" ht="23" customHeight="1"/>
    <row r="510" ht="23" customHeight="1"/>
    <row r="511" ht="23" customHeight="1"/>
    <row r="512" ht="23" customHeight="1"/>
    <row r="513" ht="23" customHeight="1"/>
    <row r="514" ht="23" customHeight="1"/>
    <row r="515" ht="23" customHeight="1"/>
    <row r="516" ht="23" customHeight="1"/>
    <row r="517" ht="23" customHeight="1"/>
    <row r="518" ht="23" customHeight="1"/>
    <row r="519" ht="23" customHeight="1"/>
    <row r="520" ht="23" customHeight="1"/>
    <row r="521" ht="23" customHeight="1"/>
    <row r="522" ht="23" customHeight="1"/>
    <row r="523" ht="23" customHeight="1"/>
    <row r="524" ht="23" customHeight="1"/>
    <row r="525" ht="23" customHeight="1"/>
    <row r="526" ht="23" customHeight="1"/>
    <row r="527" ht="23" customHeight="1"/>
  </sheetData>
  <autoFilter ref="A1:Z31"/>
  <pageMargins left="0.75" right="0.75" top="1" bottom="1" header="0.5" footer="0.5"/>
  <pageSetup orientation="landscape" fitToHeight="0" fitToWidth="1"/>
  <legacyDrawing ns1:id="anysvml"/>
</worksheet>
</file>

<file path=xl/worksheets/sheet3.xml><?xml version="1.0" encoding="utf-8"?>
<worksheet xmlns="http://schemas.openxmlformats.org/spreadsheetml/2006/main">
  <sheetPr>
    <tabColor rgb="00ED7D31"/>
    <outlinePr summaryBelow="1" summaryRight="1"/>
    <pageSetUpPr fitToPage="1"/>
  </sheetPr>
  <dimension ref="A1:L31"/>
  <sheetViews>
    <sheetView showGridLines="0" workbookViewId="0">
      <pane ySplit="1" topLeftCell="A2" activePane="bottomLeft" state="frozen"/>
      <selection pane="bottomLeft" activeCell="A1" sqref="A1"/>
    </sheetView>
  </sheetViews>
  <sheetFormatPr baseColWidth="8" defaultRowHeight="15"/>
  <cols>
    <col width="7" customWidth="1" min="1" max="1"/>
    <col width="15" customWidth="1" min="2" max="2"/>
    <col width="9" customWidth="1" min="3" max="3"/>
    <col width="38" customWidth="1" min="4" max="4"/>
    <col width="50" customWidth="1" min="5" max="5"/>
    <col width="38" customWidth="1" min="6" max="6"/>
    <col width="13" customWidth="1" min="7" max="7"/>
    <col width="52" customWidth="1" min="8" max="8"/>
    <col width="26" customWidth="1" min="9" max="9"/>
    <col width="44" customWidth="1" min="10" max="10"/>
    <col width="42" customWidth="1" min="11" max="11"/>
    <col width="14" customWidth="1" min="12" max="12"/>
  </cols>
  <sheetData>
    <row r="1" ht="34" customHeight="1">
      <c r="A1" s="4" t="inlineStr">
        <is>
          <t>No.</t>
        </is>
      </c>
      <c r="B1" s="4" t="inlineStr">
        <is>
          <t>HS+No.</t>
        </is>
      </c>
      <c r="C1" s="4" t="inlineStr">
        <is>
          <t>Khối</t>
        </is>
      </c>
      <c r="D1" s="4" t="inlineStr">
        <is>
          <t>Chứng chỉ ngoại ngữ</t>
        </is>
      </c>
      <c r="E1" s="4" t="inlineStr">
        <is>
          <t>Thành tích/Giải thưởng</t>
        </is>
      </c>
      <c r="F1" s="4" t="inlineStr">
        <is>
          <t>Điểm tính cách (RIASEC)</t>
        </is>
      </c>
      <c r="G1" s="4" t="inlineStr">
        <is>
          <t>Mã RIASEC</t>
        </is>
      </c>
      <c r="H1" s="4" t="inlineStr">
        <is>
          <t>Sở thích</t>
        </is>
      </c>
      <c r="I1" s="4" t="inlineStr">
        <is>
          <t>Môn học yêu thích</t>
        </is>
      </c>
      <c r="J1" s="4" t="inlineStr">
        <is>
          <t>Lĩnh vực quan tâm</t>
        </is>
      </c>
      <c r="K1" s="4" t="inlineStr">
        <is>
          <t>Định hướng nghề nghiệp</t>
        </is>
      </c>
      <c r="L1" s="4" t="inlineStr">
        <is>
          <t>Data Type</t>
        </is>
      </c>
    </row>
    <row r="2" ht="50" customHeight="1">
      <c r="A2" s="5" t="n">
        <v>1</v>
      </c>
      <c r="B2" s="6" t="inlineStr">
        <is>
          <t>HS12-001</t>
        </is>
      </c>
      <c r="C2" s="5" t="n">
        <v>12</v>
      </c>
      <c r="D2" s="6" t="inlineStr"/>
      <c r="E2" s="6" t="inlineStr"/>
      <c r="F2"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2" s="6" t="inlineStr">
        <is>
          <t>ASE</t>
        </is>
      </c>
      <c r="H2" s="6" t="inlineStr">
        <is>
          <t>Vẽ linh tinh lúc rảnh.</t>
        </is>
      </c>
      <c r="I2" s="6" t="inlineStr">
        <is>
          <t>Tin học</t>
        </is>
      </c>
      <c r="J2" s="6" t="inlineStr">
        <is>
          <t>Kỹ thuật; có thể mở rộng sang thiết kế sản phẩm.</t>
        </is>
      </c>
      <c r="K2" s="6" t="inlineStr">
        <is>
          <t>Em muốn thử tìm hiểu nhóm kỹ thuật; sở thích vẽ cũng có thể mở sang thiết kế sản phẩm.</t>
        </is>
      </c>
      <c r="L2" s="6" t="inlineStr">
        <is>
          <t>Synthetic</t>
        </is>
      </c>
    </row>
    <row r="3" ht="50" customHeight="1">
      <c r="A3" s="5" t="n">
        <v>2</v>
      </c>
      <c r="B3" s="6" t="inlineStr">
        <is>
          <t>HS12-002</t>
        </is>
      </c>
      <c r="C3" s="5" t="n">
        <v>12</v>
      </c>
      <c r="D3" s="6" t="inlineStr"/>
      <c r="E3" s="6" t="inlineStr"/>
      <c r="F3" s="6" t="inlineStr">
        <is>
          <t>Chưa có dữ liệu tính cách/RIASEC.</t>
        </is>
      </c>
      <c r="G3" s="6" t="inlineStr"/>
      <c r="H3" s="6" t="inlineStr">
        <is>
          <t>Em thích làm việc nhóm, nhất là khi có việc cụ thể cần hoàn thành.</t>
        </is>
      </c>
      <c r="I3" s="6" t="inlineStr">
        <is>
          <t>Giáo dục kinh tế và pháp luật; Hóa học</t>
        </is>
      </c>
      <c r="J3" s="6" t="inlineStr">
        <is>
          <t>Chưa khoanh vùng; ưu tiên môi trường phối hợp.</t>
        </is>
      </c>
      <c r="K3" s="6" t="inlineStr">
        <is>
          <t>Em coi trọng công việc có phối hợp; hiện chưa khoanh vùng nhóm ngành.</t>
        </is>
      </c>
      <c r="L3" s="6" t="inlineStr">
        <is>
          <t>Synthetic</t>
        </is>
      </c>
    </row>
    <row r="4" ht="50" customHeight="1">
      <c r="A4" s="5" t="n">
        <v>3</v>
      </c>
      <c r="B4" s="6" t="inlineStr">
        <is>
          <t>HS12-003</t>
        </is>
      </c>
      <c r="C4" s="5" t="n">
        <v>12</v>
      </c>
      <c r="D4" s="6" t="inlineStr"/>
      <c r="E4" s="6" t="inlineStr"/>
      <c r="F4"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4" s="6" t="inlineStr">
        <is>
          <t>ASE</t>
        </is>
      </c>
      <c r="H4" s="6" t="inlineStr">
        <is>
          <t>Chưa có sở thích cụ thể.</t>
        </is>
      </c>
      <c r="I4" s="6" t="inlineStr">
        <is>
          <t>Chưa xác định</t>
        </is>
      </c>
      <c r="J4" s="6" t="inlineStr"/>
      <c r="K4" s="6" t="inlineStr">
        <is>
          <t>Chưa xác định hướng; muốn có thêm trải nghiệm trước khi chọn.</t>
        </is>
      </c>
      <c r="L4" s="6" t="inlineStr">
        <is>
          <t>Synthetic</t>
        </is>
      </c>
    </row>
    <row r="5" ht="50" customHeight="1">
      <c r="A5" s="5" t="n">
        <v>4</v>
      </c>
      <c r="B5" s="6" t="inlineStr">
        <is>
          <t>HS12-004</t>
        </is>
      </c>
      <c r="C5" s="5" t="n">
        <v>12</v>
      </c>
      <c r="D5" s="6" t="inlineStr"/>
      <c r="E5" s="6" t="inlineStr">
        <is>
          <t>Violympic — Tin học — Đạt giải / Có tham gia — Lớp 12</t>
        </is>
      </c>
      <c r="F5" s="6" t="inlineStr">
        <is>
          <t>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t>
        </is>
      </c>
      <c r="G5" s="6" t="inlineStr">
        <is>
          <t>SIA</t>
        </is>
      </c>
      <c r="H5" s="6" t="inlineStr"/>
      <c r="I5" s="6" t="inlineStr">
        <is>
          <t>Toán; Lịch sử</t>
        </is>
      </c>
      <c r="J5" s="6" t="inlineStr">
        <is>
          <t>Xã hội/giáo dục; có trải nghiệm riêng với Tin học.</t>
        </is>
      </c>
      <c r="K5" s="6" t="inlineStr">
        <is>
          <t>Em đang khám phá các hướng xã hội; trải nghiệm Violympic Tin là một mảng riêng từng thử, chưa đồng nghĩa đã chọn CNTT.</t>
        </is>
      </c>
      <c r="L5" s="6" t="inlineStr">
        <is>
          <t>Synthetic</t>
        </is>
      </c>
    </row>
    <row r="6" ht="50" customHeight="1">
      <c r="A6" s="5" t="n">
        <v>5</v>
      </c>
      <c r="B6" s="6" t="inlineStr">
        <is>
          <t>HS12-005</t>
        </is>
      </c>
      <c r="C6" s="5" t="n">
        <v>12</v>
      </c>
      <c r="D6" s="6" t="inlineStr"/>
      <c r="E6" s="6" t="inlineStr">
        <is>
          <t>Toán Mỹ (AMC 8/10/12) — Toán — Giải khuyến khích — Lớp 12</t>
        </is>
      </c>
      <c r="F6" s="6" t="inlineStr">
        <is>
          <t>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t>
        </is>
      </c>
      <c r="G6" s="6" t="inlineStr">
        <is>
          <t>SAI</t>
        </is>
      </c>
      <c r="H6" s="6" t="inlineStr">
        <is>
          <t>Thích nấu ăn cùng gia đình, chưa học bài bản.</t>
        </is>
      </c>
      <c r="I6" s="6" t="inlineStr">
        <is>
          <t>Tin học; Toán</t>
        </is>
      </c>
      <c r="J6" s="6" t="inlineStr">
        <is>
          <t>Khoa học ứng dụng hoặc kinh doanh.</t>
        </is>
      </c>
      <c r="K6" s="6" t="inlineStr">
        <is>
          <t>Em đang mở rộng tìm hiểu các ngành khoa học ứng dụng và kinh doanh, chưa chốt lựa chọn.</t>
        </is>
      </c>
      <c r="L6" s="6" t="inlineStr">
        <is>
          <t>Synthetic</t>
        </is>
      </c>
    </row>
    <row r="7" ht="50" customHeight="1">
      <c r="A7" s="5" t="n">
        <v>6</v>
      </c>
      <c r="B7" s="6" t="inlineStr">
        <is>
          <t>HS12-006</t>
        </is>
      </c>
      <c r="C7" s="5" t="n">
        <v>12</v>
      </c>
      <c r="D7" s="6" t="inlineStr">
        <is>
          <t>IELTS / Tiếng Anh / 6.5 / 2024-11-24</t>
        </is>
      </c>
      <c r="E7" s="6" t="inlineStr"/>
      <c r="F7" s="6" t="inlineStr">
        <is>
          <t>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t>
        </is>
      </c>
      <c r="G7" s="6" t="inlineStr">
        <is>
          <t>SAI</t>
        </is>
      </c>
      <c r="H7" s="6" t="inlineStr">
        <is>
          <t>Thích vẽ minh họa; hiện chỉ vẽ lúc rảnh.</t>
        </is>
      </c>
      <c r="I7" s="6" t="inlineStr">
        <is>
          <t>Ngữ văn</t>
        </is>
      </c>
      <c r="J7" s="6" t="inlineStr">
        <is>
          <t>Thiết kế, truyền thông và ngoại ngữ.</t>
        </is>
      </c>
      <c r="K7" s="6" t="inlineStr">
        <is>
          <t>Em nghiêng về thiết kế hoặc truyền thông, đồng thời có thể tận dụng năng lực tiếng Anh.</t>
        </is>
      </c>
      <c r="L7" s="6" t="inlineStr">
        <is>
          <t>Synthetic</t>
        </is>
      </c>
    </row>
    <row r="8" ht="50" customHeight="1">
      <c r="A8" s="5" t="n">
        <v>7</v>
      </c>
      <c r="B8" s="6" t="inlineStr">
        <is>
          <t>HS12-007</t>
        </is>
      </c>
      <c r="C8" s="5" t="n">
        <v>12</v>
      </c>
      <c r="D8" s="6" t="inlineStr">
        <is>
          <t>IELTS / Tiếng Anh / 6.5 / 2025-02-18</t>
        </is>
      </c>
      <c r="E8" s="6" t="inlineStr">
        <is>
          <t>Olympic Bậc THPT — Toán — Giải khuyến khích — Lớp 10</t>
        </is>
      </c>
      <c r="F8" s="6" t="inlineStr">
        <is>
          <t>Em tò mò, thích tìm hiểu nguyên nhân và phân tích cách mọi thứ vận hành. Em thích sắp xếp công việc rõ ràng, chú ý chi tiết và làm theo kế hoạch. Em khá tự tin khi xử lý việc thực tế, thích bắt tay làm và thử nghiệm với công cụ. Mã tham khảo: ICR. Đây là mô tả tham khảo từ kết quả trắc nghiệm RIASEC của website AXIS, không phải kết luận tâm lý.</t>
        </is>
      </c>
      <c r="G8" s="6" t="inlineStr">
        <is>
          <t>ICR</t>
        </is>
      </c>
      <c r="H8" s="6" t="inlineStr"/>
      <c r="I8" s="6" t="inlineStr">
        <is>
          <t>Tin học; Ngữ văn</t>
        </is>
      </c>
      <c r="J8" s="6" t="inlineStr">
        <is>
          <t>Xã hội, luật hoặc phân tích.</t>
        </is>
      </c>
      <c r="K8" s="6" t="inlineStr">
        <is>
          <t>Em đang tìm hiểu các ngành xã hội, luật hoặc phân tích; chưa chọn một hướng cụ thể.</t>
        </is>
      </c>
      <c r="L8" s="6" t="inlineStr">
        <is>
          <t>Synthetic</t>
        </is>
      </c>
    </row>
    <row r="9" ht="50" customHeight="1">
      <c r="A9" s="5" t="n">
        <v>8</v>
      </c>
      <c r="B9" s="6" t="inlineStr">
        <is>
          <t>HS12-008</t>
        </is>
      </c>
      <c r="C9" s="5" t="n">
        <v>12</v>
      </c>
      <c r="D9" s="6" t="inlineStr">
        <is>
          <t>IELTS / Tiếng Anh / 6 / 2025-06-12</t>
        </is>
      </c>
      <c r="E9" s="6" t="inlineStr"/>
      <c r="F9"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9" s="6" t="inlineStr">
        <is>
          <t>ASE</t>
        </is>
      </c>
      <c r="H9" s="6" t="inlineStr">
        <is>
          <t>Đang tìm hiểu ngành kinh tế.</t>
        </is>
      </c>
      <c r="I9" s="6" t="inlineStr">
        <is>
          <t>Lịch sử</t>
        </is>
      </c>
      <c r="J9" s="6" t="inlineStr">
        <is>
          <t>Kinh doanh; đang cân nhắc lĩnh vực giao thoa.</t>
        </is>
      </c>
      <c r="K9" s="6" t="inlineStr">
        <is>
          <t>Em quan tâm kinh tế nhưng vẫn cân nhắc giữa kinh doanh, dữ liệu và truyền thông.</t>
        </is>
      </c>
      <c r="L9" s="6" t="inlineStr">
        <is>
          <t>Synthetic</t>
        </is>
      </c>
    </row>
    <row r="10" ht="50" customHeight="1">
      <c r="A10" s="5" t="n">
        <v>9</v>
      </c>
      <c r="B10" s="6" t="inlineStr">
        <is>
          <t>HS12-009</t>
        </is>
      </c>
      <c r="C10" s="5" t="n">
        <v>12</v>
      </c>
      <c r="D10" s="6" t="inlineStr">
        <is>
          <t>IELTS / Tiếng Anh / 5.5 / 2025-03-23</t>
        </is>
      </c>
      <c r="E10" s="6" t="inlineStr">
        <is>
          <t>Olympic Bậc THPT — Toán — Giải khuyến khích — Lớp 11</t>
        </is>
      </c>
      <c r="F10" s="6" t="inlineStr">
        <is>
          <t>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t>
        </is>
      </c>
      <c r="G10" s="6" t="inlineStr">
        <is>
          <t>ECS</t>
        </is>
      </c>
      <c r="H10" s="6" t="inlineStr"/>
      <c r="I10" s="6" t="inlineStr">
        <is>
          <t>Tiếng Anh; Toán</t>
        </is>
      </c>
      <c r="J10" s="6" t="inlineStr">
        <is>
          <t>Kinh doanh, tài chính hoặc logistics.</t>
        </is>
      </c>
      <c r="K10" s="6" t="inlineStr">
        <is>
          <t>Em cân nhắc kinh doanh, tài chính hoặc logistics; thành tích Toán là một dữ kiện tham khảo, không phải lý do duy nhất.</t>
        </is>
      </c>
      <c r="L10" s="6" t="inlineStr">
        <is>
          <t>Synthetic</t>
        </is>
      </c>
    </row>
    <row r="11" ht="50" customHeight="1">
      <c r="A11" s="5" t="n">
        <v>10</v>
      </c>
      <c r="B11" s="6" t="inlineStr">
        <is>
          <t>HS12-010</t>
        </is>
      </c>
      <c r="C11" s="5" t="n">
        <v>12</v>
      </c>
      <c r="D11" s="6" t="inlineStr"/>
      <c r="E11" s="6" t="inlineStr"/>
      <c r="F11" s="6" t="inlineStr">
        <is>
          <t>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t>
        </is>
      </c>
      <c r="G11" s="6" t="inlineStr">
        <is>
          <t>SIA</t>
        </is>
      </c>
      <c r="H11" s="6" t="inlineStr">
        <is>
          <t>Cuối tuần em đá bóng với bạn. Chưa nghĩ xa về nghề nghiệp.</t>
        </is>
      </c>
      <c r="I11" s="6" t="inlineStr">
        <is>
          <t>Chưa xác định</t>
        </is>
      </c>
      <c r="J11" s="6" t="inlineStr">
        <is>
          <t>Thể thao, giáo dục hoặc dịch vụ con người.</t>
        </is>
      </c>
      <c r="K11" s="6" t="inlineStr">
        <is>
          <t>Chưa chốt ngành; có thể khám phá thể thao, giáo dục hoặc công việc với con người.</t>
        </is>
      </c>
      <c r="L11" s="6" t="inlineStr">
        <is>
          <t>Synthetic</t>
        </is>
      </c>
    </row>
    <row r="12" ht="50" customHeight="1">
      <c r="A12" s="5" t="n">
        <v>11</v>
      </c>
      <c r="B12" s="6" t="inlineStr">
        <is>
          <t>HS12-011</t>
        </is>
      </c>
      <c r="C12" s="5" t="n">
        <v>12</v>
      </c>
      <c r="D12" s="6" t="inlineStr"/>
      <c r="E12" s="6" t="inlineStr"/>
      <c r="F12" s="6" t="inlineStr">
        <is>
          <t>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t>
        </is>
      </c>
      <c r="G12" s="6" t="inlineStr">
        <is>
          <t>SAI</t>
        </is>
      </c>
      <c r="H12" s="6" t="inlineStr">
        <is>
          <t>Em thích viết và sửa câu chữ, nhưng vẫn đang thử xem mình hợp báo chí hay truyền thông hơn.</t>
        </is>
      </c>
      <c r="I12" s="6" t="inlineStr">
        <is>
          <t>Ngữ văn</t>
        </is>
      </c>
      <c r="J12" s="6" t="inlineStr">
        <is>
          <t>Thiết kế/truyền thông.</t>
        </is>
      </c>
      <c r="K12" s="6" t="inlineStr">
        <is>
          <t>Em đang cân nhắc thiết kế và truyền thông; sở thích viết là một phần của quá trình khám phá.</t>
        </is>
      </c>
      <c r="L12" s="6" t="inlineStr">
        <is>
          <t>Synthetic</t>
        </is>
      </c>
    </row>
    <row r="13" ht="50" customHeight="1">
      <c r="A13" s="5" t="n">
        <v>12</v>
      </c>
      <c r="B13" s="6" t="inlineStr">
        <is>
          <t>HS12-012</t>
        </is>
      </c>
      <c r="C13" s="5" t="n">
        <v>12</v>
      </c>
      <c r="D13" s="6" t="inlineStr"/>
      <c r="E13" s="6" t="inlineStr"/>
      <c r="F13" s="6" t="inlineStr">
        <is>
          <t>Chưa có dữ liệu tính cách/RIASEC.</t>
        </is>
      </c>
      <c r="G13" s="6" t="inlineStr"/>
      <c r="H13" s="6" t="inlineStr">
        <is>
          <t>Vẽ linh tinh lúc rảnh.</t>
        </is>
      </c>
      <c r="I13" s="6" t="inlineStr">
        <is>
          <t>Toán</t>
        </is>
      </c>
      <c r="J13" s="6" t="inlineStr">
        <is>
          <t>Sáng tạo; chưa chốt hướng.</t>
        </is>
      </c>
      <c r="K13" s="6" t="inlineStr">
        <is>
          <t>Chưa xác định nghề; có thể tìm hiểu công việc sáng tạo bên cạnh sở thích vẽ.</t>
        </is>
      </c>
      <c r="L13" s="6" t="inlineStr">
        <is>
          <t>Synthetic</t>
        </is>
      </c>
    </row>
    <row r="14" ht="50" customHeight="1">
      <c r="A14" s="5" t="n">
        <v>13</v>
      </c>
      <c r="B14" s="6" t="inlineStr">
        <is>
          <t>HS11-001</t>
        </is>
      </c>
      <c r="C14" s="5" t="n">
        <v>11</v>
      </c>
      <c r="D14" s="6" t="inlineStr"/>
      <c r="E14" s="6" t="inlineStr"/>
      <c r="F14" s="6" t="inlineStr">
        <is>
          <t>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t>
        </is>
      </c>
      <c r="G14" s="6" t="inlineStr">
        <is>
          <t>ECS</t>
        </is>
      </c>
      <c r="H14" s="6" t="inlineStr">
        <is>
          <t>Chưa có sở thích nổi bật.</t>
        </is>
      </c>
      <c r="I14" s="6" t="inlineStr">
        <is>
          <t>Tin học</t>
        </is>
      </c>
      <c r="J14" s="6" t="inlineStr">
        <is>
          <t>Công tác xã hội, luật hoặc giao tiếp công chúng.</t>
        </is>
      </c>
      <c r="K14" s="6" t="inlineStr">
        <is>
          <t>Em thích tìm hiểu các lĩnh vực làm việc với công chúng; có thể khám phá luật hoặc công tác xã hội.</t>
        </is>
      </c>
      <c r="L14" s="6" t="inlineStr">
        <is>
          <t>Synthetic</t>
        </is>
      </c>
    </row>
    <row r="15" ht="50" customHeight="1">
      <c r="A15" s="5" t="n">
        <v>14</v>
      </c>
      <c r="B15" s="6" t="inlineStr">
        <is>
          <t>HS11-002</t>
        </is>
      </c>
      <c r="C15" s="5" t="n">
        <v>11</v>
      </c>
      <c r="D15" s="6" t="inlineStr">
        <is>
          <t>IELTS / Tiếng Anh / 5.5 / 2026-09-25</t>
        </is>
      </c>
      <c r="E15" s="6" t="inlineStr"/>
      <c r="F15" s="6" t="inlineStr">
        <is>
          <t>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t>
        </is>
      </c>
      <c r="G15" s="6" t="inlineStr">
        <is>
          <t>SAI</t>
        </is>
      </c>
      <c r="H15" s="6" t="inlineStr">
        <is>
          <t>Quan tâm đến kinh doanh, nhưng chưa chốt được lĩnh vực nào.</t>
        </is>
      </c>
      <c r="I15" s="6" t="inlineStr">
        <is>
          <t>Ngữ văn; Toán</t>
        </is>
      </c>
      <c r="J15" s="6" t="inlineStr">
        <is>
          <t>Truyền thông/thiết kế, song song tìm hiểu kinh doanh.</t>
        </is>
      </c>
      <c r="K15" s="6" t="inlineStr">
        <is>
          <t>Em đang tìm hiểu truyền thông và thiết kế, dù quan tâm kinh doanh có thể mở thêm hướng khác.</t>
        </is>
      </c>
      <c r="L15" s="6" t="inlineStr">
        <is>
          <t>Synthetic</t>
        </is>
      </c>
    </row>
    <row r="16" ht="50" customHeight="1">
      <c r="A16" s="5" t="n">
        <v>15</v>
      </c>
      <c r="B16" s="6" t="inlineStr">
        <is>
          <t>HS11-003</t>
        </is>
      </c>
      <c r="C16" s="5" t="n">
        <v>11</v>
      </c>
      <c r="D16" s="6" t="inlineStr"/>
      <c r="E16" s="6" t="inlineStr"/>
      <c r="F16"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16" s="6" t="inlineStr">
        <is>
          <t>ASE</t>
        </is>
      </c>
      <c r="H16" s="6" t="inlineStr">
        <is>
          <t>Thỉnh thoảng tự học Python để làm mấy việc nhỏ trên máy tính.</t>
        </is>
      </c>
      <c r="I16" s="6" t="inlineStr">
        <is>
          <t>Tin học; Địa lý</t>
        </is>
      </c>
      <c r="J16" s="6" t="inlineStr">
        <is>
          <t>Môi trường và công nghệ ứng dụng.</t>
        </is>
      </c>
      <c r="K16" s="6" t="inlineStr">
        <is>
          <t>Em quan tâm môi trường và tự học vài việc nhỏ trên máy tính; ngành học vẫn còn để ngỏ.</t>
        </is>
      </c>
      <c r="L16" s="6" t="inlineStr">
        <is>
          <t>Synthetic</t>
        </is>
      </c>
    </row>
    <row r="17" ht="50" customHeight="1">
      <c r="A17" s="5" t="n">
        <v>16</v>
      </c>
      <c r="B17" s="6" t="inlineStr">
        <is>
          <t>HS11-004</t>
        </is>
      </c>
      <c r="C17" s="5" t="n">
        <v>11</v>
      </c>
      <c r="D17" s="6" t="inlineStr"/>
      <c r="E17" s="6" t="inlineStr">
        <is>
          <t>Olympic Bậc THPT — Toán — Giải khuyến khích — Lớp 11</t>
        </is>
      </c>
      <c r="F17" s="6" t="inlineStr">
        <is>
          <t>Chưa có dữ liệu tính cách/RIASEC.</t>
        </is>
      </c>
      <c r="G17" s="6" t="inlineStr"/>
      <c r="H17" s="6" t="inlineStr">
        <is>
          <t>Chưa có sở thích cụ thể.</t>
        </is>
      </c>
      <c r="I17" s="6" t="inlineStr">
        <is>
          <t>Chưa xác định</t>
        </is>
      </c>
      <c r="J17" s="6" t="inlineStr">
        <is>
          <t>Chưa xác định.</t>
        </is>
      </c>
      <c r="K17" s="6" t="inlineStr">
        <is>
          <t>Chưa có kế hoạch nghề rõ; trước mắt có thể so sánh một vài nhóm ngành.</t>
        </is>
      </c>
      <c r="L17" s="6" t="inlineStr">
        <is>
          <t>Synthetic</t>
        </is>
      </c>
    </row>
    <row r="18" ht="50" customHeight="1">
      <c r="A18" s="5" t="n">
        <v>17</v>
      </c>
      <c r="B18" s="6" t="inlineStr">
        <is>
          <t>HS11-005</t>
        </is>
      </c>
      <c r="C18" s="5" t="n">
        <v>11</v>
      </c>
      <c r="D18" s="6" t="inlineStr"/>
      <c r="E18" s="6" t="inlineStr"/>
      <c r="F18" s="6" t="inlineStr">
        <is>
          <t>Chưa có dữ liệu tính cách/RIASEC.</t>
        </is>
      </c>
      <c r="G18" s="6" t="inlineStr"/>
      <c r="H18" s="6" t="inlineStr"/>
      <c r="I18" s="6" t="inlineStr">
        <is>
          <t>Chưa xác định</t>
        </is>
      </c>
      <c r="J18" s="6" t="inlineStr"/>
      <c r="K18" s="6" t="inlineStr">
        <is>
          <t>Chưa xác định; nên tiếp tục khám phá môn học và hoạt động trước khi chọn.</t>
        </is>
      </c>
      <c r="L18" s="6" t="inlineStr">
        <is>
          <t>Synthetic</t>
        </is>
      </c>
    </row>
    <row r="19" ht="50" customHeight="1">
      <c r="A19" s="5" t="n">
        <v>18</v>
      </c>
      <c r="B19" s="6" t="inlineStr">
        <is>
          <t>HS11-006</t>
        </is>
      </c>
      <c r="C19" s="5" t="n">
        <v>11</v>
      </c>
      <c r="D19" s="6" t="inlineStr">
        <is>
          <t>IELTS / Tiếng Anh / 6 / 2024-12-26</t>
        </is>
      </c>
      <c r="E19" s="6" t="inlineStr"/>
      <c r="F19" s="6" t="inlineStr">
        <is>
          <t>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t>
        </is>
      </c>
      <c r="G19" s="6" t="inlineStr">
        <is>
          <t>ECS</t>
        </is>
      </c>
      <c r="H19" s="6" t="inlineStr">
        <is>
          <t>Thích môn Sinh.</t>
        </is>
      </c>
      <c r="I19" s="6" t="inlineStr">
        <is>
          <t>Địa lý; Hóa học</t>
        </is>
      </c>
      <c r="J19" s="6" t="inlineStr">
        <is>
          <t>Sinh học, sức khỏe hoặc giáo dục.</t>
        </is>
      </c>
      <c r="K19" s="6" t="inlineStr">
        <is>
          <t>Em thích Sinh học; có thể tìm hiểu thêm khoa học sức khỏe hoặc giáo dục.</t>
        </is>
      </c>
      <c r="L19" s="6" t="inlineStr">
        <is>
          <t>Synthetic</t>
        </is>
      </c>
    </row>
    <row r="20" ht="50" customHeight="1">
      <c r="A20" s="5" t="n">
        <v>19</v>
      </c>
      <c r="B20" s="6" t="inlineStr">
        <is>
          <t>HS11-007</t>
        </is>
      </c>
      <c r="C20" s="5" t="n">
        <v>11</v>
      </c>
      <c r="D20" s="6" t="inlineStr"/>
      <c r="E20" s="6" t="inlineStr"/>
      <c r="F20" s="6" t="inlineStr">
        <is>
          <t>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t>
        </is>
      </c>
      <c r="G20" s="6" t="inlineStr">
        <is>
          <t>SIA</t>
        </is>
      </c>
      <c r="H20" s="6" t="inlineStr">
        <is>
          <t>Máy tính và game chiến thuật.</t>
        </is>
      </c>
      <c r="I20" s="6" t="inlineStr">
        <is>
          <t>Tin học</t>
        </is>
      </c>
      <c r="J20" s="6" t="inlineStr">
        <is>
          <t>Công nghệ; đang thành hình.</t>
        </is>
      </c>
      <c r="K20" s="6" t="inlineStr">
        <is>
          <t>Em quan tâm máy tính và game chiến thuật; công nghệ là một hướng để tìm hiểu, chưa phải lựa chọn chắc chắn.</t>
        </is>
      </c>
      <c r="L20" s="6" t="inlineStr">
        <is>
          <t>Synthetic</t>
        </is>
      </c>
    </row>
    <row r="21" ht="50" customHeight="1">
      <c r="A21" s="5" t="n">
        <v>20</v>
      </c>
      <c r="B21" s="6" t="inlineStr">
        <is>
          <t>HS11-008</t>
        </is>
      </c>
      <c r="C21" s="5" t="n">
        <v>11</v>
      </c>
      <c r="D21" s="6" t="inlineStr"/>
      <c r="E21" s="6" t="inlineStr"/>
      <c r="F21" s="6" t="inlineStr">
        <is>
          <t>Chưa có dữ liệu tính cách/RIASEC.</t>
        </is>
      </c>
      <c r="G21" s="6" t="inlineStr"/>
      <c r="H21" s="6" t="inlineStr">
        <is>
          <t>Mê các câu đố logic, gặp bài khó thì muốn tìm cách giải cho ra.</t>
        </is>
      </c>
      <c r="I21" s="6" t="inlineStr">
        <is>
          <t>Toán</t>
        </is>
      </c>
      <c r="J21" s="6" t="inlineStr">
        <is>
          <t>Khoa học, logic hoặc dữ liệu.</t>
        </is>
      </c>
      <c r="K21" s="6" t="inlineStr">
        <is>
          <t>Em thích câu đố logic và kiên trì tìm lời giải; có thể khám phá khoa học hoặc dữ liệu.</t>
        </is>
      </c>
      <c r="L21" s="6" t="inlineStr">
        <is>
          <t>Synthetic</t>
        </is>
      </c>
    </row>
    <row r="22" ht="50" customHeight="1">
      <c r="A22" s="5" t="n">
        <v>21</v>
      </c>
      <c r="B22" s="6" t="inlineStr">
        <is>
          <t>HS11-009</t>
        </is>
      </c>
      <c r="C22" s="5" t="n">
        <v>11</v>
      </c>
      <c r="D22" s="6" t="inlineStr"/>
      <c r="E22" s="6" t="inlineStr"/>
      <c r="F22" s="6" t="inlineStr">
        <is>
          <t>Em khá chủ động trong trao đổi, có khả năng khởi xướng ý tưởng và thuyết phục người khác. Em thích sắp xếp công việc rõ ràng, chú ý chi tiết và làm theo kế hoạch. Em quan tâm đến cảm xúc của người khác, biết lắng nghe và sẵn sàng hỗ trợ khi làm việc nhóm. Mã tham khảo: ECS. Đây là mô tả tham khảo từ kết quả trắc nghiệm RIASEC của website AXIS, không phải kết luận tâm lý.</t>
        </is>
      </c>
      <c r="G22" s="6" t="inlineStr">
        <is>
          <t>ECS</t>
        </is>
      </c>
      <c r="H22" s="6" t="inlineStr"/>
      <c r="I22" s="6" t="inlineStr">
        <is>
          <t>Tiếng Anh; Toán</t>
        </is>
      </c>
      <c r="J22" s="6" t="inlineStr">
        <is>
          <t>Công việc hướng đến con người.</t>
        </is>
      </c>
      <c r="K22" s="6" t="inlineStr">
        <is>
          <t>Em quan tâm công việc với con người; kết quả học tập hiện cho thấy thế mạnh phân hóa giữa các môn.</t>
        </is>
      </c>
      <c r="L22" s="6" t="inlineStr">
        <is>
          <t>Synthetic</t>
        </is>
      </c>
    </row>
    <row r="23" ht="50" customHeight="1">
      <c r="A23" s="5" t="n">
        <v>22</v>
      </c>
      <c r="B23" s="6" t="inlineStr">
        <is>
          <t>HS11-010</t>
        </is>
      </c>
      <c r="C23" s="5" t="n">
        <v>11</v>
      </c>
      <c r="D23" s="6" t="inlineStr">
        <is>
          <t>IELTS / Tiếng Anh / 5.5 / 2025-08-20</t>
        </is>
      </c>
      <c r="E23" s="6" t="inlineStr"/>
      <c r="F23" s="6" t="inlineStr">
        <is>
          <t>Chưa có dữ liệu tính cách/RIASEC.</t>
        </is>
      </c>
      <c r="G23" s="6" t="inlineStr"/>
      <c r="H23" s="6" t="inlineStr">
        <is>
          <t>Máy tính và game chiến thuật.</t>
        </is>
      </c>
      <c r="I23" s="6" t="inlineStr">
        <is>
          <t>Lịch sử</t>
        </is>
      </c>
      <c r="J23" s="6" t="inlineStr">
        <is>
          <t>Công nghệ/trò chơi; có thể cân nhắc kinh doanh số.</t>
        </is>
      </c>
      <c r="K23" s="6" t="inlineStr">
        <is>
          <t>Em thích máy tính và trò chơi chiến thuật; có thể tìm hiểu công nghệ hoặc kinh doanh số.</t>
        </is>
      </c>
      <c r="L23" s="6" t="inlineStr">
        <is>
          <t>Synthetic</t>
        </is>
      </c>
    </row>
    <row r="24" ht="50" customHeight="1">
      <c r="A24" s="5" t="n">
        <v>23</v>
      </c>
      <c r="B24" s="6" t="inlineStr">
        <is>
          <t>HS10-001</t>
        </is>
      </c>
      <c r="C24" s="5" t="n">
        <v>10</v>
      </c>
      <c r="D24" s="6" t="inlineStr"/>
      <c r="E24" s="6" t="inlineStr"/>
      <c r="F24" s="6" t="inlineStr">
        <is>
          <t>Chưa có dữ liệu tính cách/RIASEC.</t>
        </is>
      </c>
      <c r="G24" s="6" t="inlineStr"/>
      <c r="H24" s="6" t="inlineStr">
        <is>
          <t>Thích môn Sinh.</t>
        </is>
      </c>
      <c r="I24" s="6" t="inlineStr">
        <is>
          <t>Sinh học</t>
        </is>
      </c>
      <c r="J24" s="6" t="inlineStr">
        <is>
          <t>Sinh học và khoa học sự sống.</t>
        </is>
      </c>
      <c r="K24" s="6" t="inlineStr">
        <is>
          <t>Em thích Sinh học; có thể khám phá ngành sức khỏe hoặc khoa học sự sống.</t>
        </is>
      </c>
      <c r="L24" s="6" t="inlineStr">
        <is>
          <t>Synthetic</t>
        </is>
      </c>
    </row>
    <row r="25" ht="50" customHeight="1">
      <c r="A25" s="5" t="n">
        <v>24</v>
      </c>
      <c r="B25" s="6" t="inlineStr">
        <is>
          <t>HS10-002</t>
        </is>
      </c>
      <c r="C25" s="5" t="n">
        <v>10</v>
      </c>
      <c r="D25" s="6" t="inlineStr"/>
      <c r="E25" s="6" t="inlineStr"/>
      <c r="F25" s="6" t="inlineStr">
        <is>
          <t>Em quan tâm đến cảm xúc của người khác, biết lắng nghe và sẵn sàng hỗ trợ khi làm việc nhóm. Em có xu hướng sáng tạo, thích phát triển ý tưởng và thể hiện bản thân qua hình ảnh hoặc nội dung. Em tò mò, thích tìm hiểu nguyên nhân và phân tích cách mọi thứ vận hành. Mã tham khảo: SAI. Đây là mô tả tham khảo từ kết quả trắc nghiệm RIASEC của website AXIS, không phải kết luận tâm lý.</t>
        </is>
      </c>
      <c r="G25" s="6" t="inlineStr">
        <is>
          <t>SAI</t>
        </is>
      </c>
      <c r="H25" s="6" t="inlineStr">
        <is>
          <t>Vẽ linh tinh lúc rảnh.</t>
        </is>
      </c>
      <c r="I25" s="6" t="inlineStr">
        <is>
          <t>Ngữ văn</t>
        </is>
      </c>
      <c r="J25" s="6" t="inlineStr">
        <is>
          <t>Thiết kế, minh họa hoặc truyền thông.</t>
        </is>
      </c>
      <c r="K25" s="6" t="inlineStr">
        <is>
          <t>Em hay vẽ lúc rảnh; có thể tìm hiểu thiết kế, minh họa hoặc truyền thông hình ảnh.</t>
        </is>
      </c>
      <c r="L25" s="6" t="inlineStr">
        <is>
          <t>Synthetic</t>
        </is>
      </c>
    </row>
    <row r="26" ht="50" customHeight="1">
      <c r="A26" s="5" t="n">
        <v>25</v>
      </c>
      <c r="B26" s="6" t="inlineStr">
        <is>
          <t>HS10-003</t>
        </is>
      </c>
      <c r="C26" s="5" t="n">
        <v>10</v>
      </c>
      <c r="D26" s="6" t="inlineStr"/>
      <c r="E26" s="6" t="inlineStr"/>
      <c r="F26" s="6" t="inlineStr">
        <is>
          <t>Chưa có dữ liệu tính cách/RIASEC.</t>
        </is>
      </c>
      <c r="G26" s="6" t="inlineStr"/>
      <c r="H26" s="6" t="inlineStr"/>
      <c r="I26" s="6" t="inlineStr">
        <is>
          <t>Chưa xác định</t>
        </is>
      </c>
      <c r="J26" s="6" t="inlineStr"/>
      <c r="K26" s="6" t="inlineStr">
        <is>
          <t>Chưa có định hướng rõ; hiện nên thử nhiều môn và hoạt động khác nhau.</t>
        </is>
      </c>
      <c r="L26" s="6" t="inlineStr">
        <is>
          <t>Synthetic</t>
        </is>
      </c>
    </row>
    <row r="27" ht="50" customHeight="1">
      <c r="A27" s="5" t="n">
        <v>26</v>
      </c>
      <c r="B27" s="6" t="inlineStr">
        <is>
          <t>HS10-004</t>
        </is>
      </c>
      <c r="C27" s="5" t="n">
        <v>10</v>
      </c>
      <c r="D27" s="6" t="inlineStr"/>
      <c r="E27" s="6" t="inlineStr"/>
      <c r="F27" s="6" t="inlineStr">
        <is>
          <t>Chưa có dữ liệu tính cách/RIASEC.</t>
        </is>
      </c>
      <c r="G27" s="6" t="inlineStr"/>
      <c r="H27" s="6" t="inlineStr">
        <is>
          <t>Chưa có sở thích cụ thể.</t>
        </is>
      </c>
      <c r="I27" s="6" t="inlineStr">
        <is>
          <t>Tiếng Anh; Địa lý</t>
        </is>
      </c>
      <c r="J27" s="6" t="inlineStr">
        <is>
          <t>Đang so sánh khoa học và xã hội.</t>
        </is>
      </c>
      <c r="K27" s="6" t="inlineStr">
        <is>
          <t>Em chưa lập kế hoạch cụ thể; có thể so sánh nhóm khoa học với nhóm xã hội.</t>
        </is>
      </c>
      <c r="L27" s="6" t="inlineStr">
        <is>
          <t>Synthetic</t>
        </is>
      </c>
    </row>
    <row r="28" ht="50" customHeight="1">
      <c r="A28" s="5" t="n">
        <v>27</v>
      </c>
      <c r="B28" s="6" t="inlineStr">
        <is>
          <t>HS10-005</t>
        </is>
      </c>
      <c r="C28" s="5" t="n">
        <v>10</v>
      </c>
      <c r="D28" s="6" t="inlineStr"/>
      <c r="E28" s="6" t="inlineStr"/>
      <c r="F28"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28" s="6" t="inlineStr">
        <is>
          <t>ASE</t>
        </is>
      </c>
      <c r="H28" s="6" t="inlineStr"/>
      <c r="I28" s="6" t="inlineStr">
        <is>
          <t>Ngữ văn; Toán</t>
        </is>
      </c>
      <c r="J28" s="6" t="inlineStr">
        <is>
          <t>Khám phá mở, chưa chốt.</t>
        </is>
      </c>
      <c r="K28" s="6" t="inlineStr">
        <is>
          <t>Em đang tìm hiểu nhiều ngành có đầu ra rõ, chưa chọn một lĩnh vực.</t>
        </is>
      </c>
      <c r="L28" s="6" t="inlineStr">
        <is>
          <t>Synthetic</t>
        </is>
      </c>
    </row>
    <row r="29" ht="50" customHeight="1">
      <c r="A29" s="5" t="n">
        <v>28</v>
      </c>
      <c r="B29" s="6" t="inlineStr">
        <is>
          <t>HS10-006</t>
        </is>
      </c>
      <c r="C29" s="5" t="n">
        <v>10</v>
      </c>
      <c r="D29" s="6" t="inlineStr"/>
      <c r="E29" s="6" t="inlineStr"/>
      <c r="F29" s="6" t="inlineStr">
        <is>
          <t>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t>
        </is>
      </c>
      <c r="G29" s="6" t="inlineStr">
        <is>
          <t>SIA</t>
        </is>
      </c>
      <c r="H29" s="6" t="inlineStr">
        <is>
          <t>Chưa có sở thích nổi bật.</t>
        </is>
      </c>
      <c r="I29" s="6" t="inlineStr">
        <is>
          <t>Ngữ văn</t>
        </is>
      </c>
      <c r="J29" s="6" t="inlineStr">
        <is>
          <t>Giáo dục/công tác cộng đồng.</t>
        </is>
      </c>
      <c r="K29" s="6" t="inlineStr">
        <is>
          <t>Em quan tâm công việc có tương tác với mọi người; có thể tìm hiểu giáo dục hoặc cộng đồng.</t>
        </is>
      </c>
      <c r="L29" s="6" t="inlineStr">
        <is>
          <t>Synthetic</t>
        </is>
      </c>
    </row>
    <row r="30" ht="50" customHeight="1">
      <c r="A30" s="5" t="n">
        <v>29</v>
      </c>
      <c r="B30" s="6" t="inlineStr">
        <is>
          <t>HS10-007</t>
        </is>
      </c>
      <c r="C30" s="5" t="n">
        <v>10</v>
      </c>
      <c r="D30" s="6" t="inlineStr"/>
      <c r="E30" s="6" t="inlineStr"/>
      <c r="F30" s="6" t="inlineStr">
        <is>
          <t>Em quan tâm đến cảm xúc của người khác, biết lắng nghe và sẵn sàng hỗ trợ khi làm việc nhóm. Em tò mò, thích tìm hiểu nguyên nhân và phân tích cách mọi thứ vận hành. Em có xu hướng sáng tạo, thích phát triển ý tưởng và thể hiện bản thân qua hình ảnh hoặc nội dung. Mã tham khảo: SIA. Đây là mô tả tham khảo từ kết quả trắc nghiệm RIASEC của website AXIS, không phải kết luận tâm lý.</t>
        </is>
      </c>
      <c r="G30" s="6" t="inlineStr">
        <is>
          <t>SIA</t>
        </is>
      </c>
      <c r="H30" s="6" t="inlineStr"/>
      <c r="I30" s="6" t="inlineStr">
        <is>
          <t>Giáo dục kinh tế và pháp luật</t>
        </is>
      </c>
      <c r="J30" s="6" t="inlineStr">
        <is>
          <t>Các lĩnh vực có làm việc nhóm.</t>
        </is>
      </c>
      <c r="K30" s="6" t="inlineStr">
        <is>
          <t>Em có thể hợp với các hướng làm việc nhóm hoặc xã hội; chưa cần chọn ngay.</t>
        </is>
      </c>
      <c r="L30" s="6" t="inlineStr">
        <is>
          <t>Synthetic</t>
        </is>
      </c>
    </row>
    <row r="31" ht="50" customHeight="1">
      <c r="A31" s="5" t="n">
        <v>30</v>
      </c>
      <c r="B31" s="6" t="inlineStr">
        <is>
          <t>HS10-008</t>
        </is>
      </c>
      <c r="C31" s="5" t="n">
        <v>10</v>
      </c>
      <c r="D31" s="6" t="inlineStr"/>
      <c r="E31" s="6" t="inlineStr"/>
      <c r="F31" s="6" t="inlineStr">
        <is>
          <t>Em có xu hướng sáng tạo, thích phát triển ý tưởng và thể hiện bản thân qua hình ảnh hoặc nội dung. Em quan tâm đến cảm xúc của người khác, biết lắng nghe và sẵn sàng hỗ trợ khi làm việc nhóm. Em khá chủ động trong trao đổi, có khả năng khởi xướng ý tưởng và thuyết phục người khác. Mã tham khảo: ASE. Đây là mô tả tham khảo từ kết quả trắc nghiệm RIASEC của website AXIS, không phải kết luận tâm lý.</t>
        </is>
      </c>
      <c r="G31" s="6" t="inlineStr">
        <is>
          <t>ASE</t>
        </is>
      </c>
      <c r="H31" s="6" t="inlineStr"/>
      <c r="I31" s="6" t="inlineStr">
        <is>
          <t>Tiếng Anh; Toán</t>
        </is>
      </c>
      <c r="J31" s="6" t="inlineStr">
        <is>
          <t>Sáng tạo, kinh doanh hoặc công nghệ.</t>
        </is>
      </c>
      <c r="K31" s="6" t="inlineStr">
        <is>
          <t>Em còn muốn tìm hiểu thêm; có thể thử các lĩnh vực sáng tạo, kinh doanh hoặc công nghệ.</t>
        </is>
      </c>
      <c r="L31" s="6" t="inlineStr">
        <is>
          <t>Synthetic</t>
        </is>
      </c>
    </row>
  </sheetData>
  <autoFilter ref="A1:L3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Bộ dữ liệu học sinh Synthetic</dc:title>
  <dc:subject>Dataset đã ẩn danh</dc:subject>
  <dcterms:created xsi:type="dcterms:W3CDTF">2026-09-30T16:02:12Z</dcterms:created>
  <dcterms:modified xsi:type="dcterms:W3CDTF">2026-10-02T21:02:08Z</dcterms:modified>
</cp:coreProperties>
</file>